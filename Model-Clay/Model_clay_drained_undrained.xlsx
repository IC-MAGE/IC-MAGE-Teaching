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taborda_ic_ac_uk/Documents/Documents/Github/IC-MAGE-Teaching/Model-Clay/"/>
    </mc:Choice>
  </mc:AlternateContent>
  <xr:revisionPtr revIDLastSave="18" documentId="13_ncr:4000b_{DAC3C8EA-777B-408D-97CE-B0C1530B096D}" xr6:coauthVersionLast="47" xr6:coauthVersionMax="47" xr10:uidLastSave="{B3AAC1CA-D59F-435A-B893-F471511AE2F8}"/>
  <bookViews>
    <workbookView xWindow="-28898" yWindow="-98" windowWidth="28996" windowHeight="15675" activeTab="1" xr2:uid="{00000000-000D-0000-FFFF-FFFF00000000}"/>
  </bookViews>
  <sheets>
    <sheet name="Drained (Poisson)" sheetId="10" r:id="rId1"/>
    <sheet name="p-J DD" sheetId="25" r:id="rId2"/>
    <sheet name="Ed-evol DD" sheetId="26" r:id="rId3"/>
    <sheet name="Ed-J DD" sheetId="27" r:id="rId4"/>
    <sheet name="Undrained (Poisson)" sheetId="2" r:id="rId5"/>
    <sheet name="p-J UU" sheetId="22" r:id="rId6"/>
    <sheet name="Ed-dU UU" sheetId="23" r:id="rId7"/>
    <sheet name="Ed-J UU" sheetId="24" r:id="rId8"/>
  </sheets>
  <definedNames>
    <definedName name="_xlnm._FilterDatabase" localSheetId="0" hidden="1">'Drained (Poisson)'!$W$1:$AA$52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0" l="1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" i="10"/>
  <c r="C4" i="10"/>
  <c r="C5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" i="10"/>
  <c r="J2" i="10"/>
  <c r="AJ4" i="10"/>
  <c r="AM4" i="10"/>
  <c r="AM3" i="10"/>
  <c r="AG3" i="10"/>
  <c r="AF6" i="10"/>
  <c r="C14" i="10"/>
  <c r="E4" i="10"/>
  <c r="E5" i="10" s="1"/>
  <c r="E6" i="10"/>
  <c r="E7" i="10"/>
  <c r="E8" i="10" s="1"/>
  <c r="E9" i="10" s="1"/>
  <c r="E10" i="10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C14" i="2"/>
  <c r="C4" i="2"/>
  <c r="C24" i="2" s="1"/>
  <c r="C16" i="2"/>
  <c r="C5" i="2"/>
  <c r="G2" i="2"/>
  <c r="M2" i="2" s="1"/>
  <c r="E4" i="2"/>
  <c r="E5" i="2" s="1"/>
  <c r="E6" i="2" s="1"/>
  <c r="E7" i="2" s="1"/>
  <c r="E8" i="2" s="1"/>
  <c r="E9" i="2" s="1"/>
  <c r="E10" i="2" s="1"/>
  <c r="E11" i="2" s="1"/>
  <c r="E12" i="2" s="1"/>
  <c r="E13" i="2"/>
  <c r="E14" i="2"/>
  <c r="E15" i="2" s="1"/>
  <c r="E16" i="2" s="1"/>
  <c r="E17" i="2" s="1"/>
  <c r="E18" i="2" s="1"/>
  <c r="E19" i="2" s="1"/>
  <c r="E20" i="2"/>
  <c r="E21" i="2" s="1"/>
  <c r="E22" i="2" s="1"/>
  <c r="E23" i="2" s="1"/>
  <c r="E24" i="2"/>
  <c r="E25" i="2" s="1"/>
  <c r="E26" i="2" s="1"/>
  <c r="E27" i="2" s="1"/>
  <c r="E28" i="2" s="1"/>
  <c r="E29" i="2"/>
  <c r="E30" i="2" s="1"/>
  <c r="E31" i="2" s="1"/>
  <c r="F2" i="2" l="1"/>
  <c r="F3" i="2" s="1"/>
  <c r="F4" i="2" s="1"/>
  <c r="F5" i="2" s="1"/>
  <c r="F6" i="2" s="1"/>
  <c r="F7" i="2" s="1"/>
  <c r="F8" i="2" s="1"/>
  <c r="F9" i="2" s="1"/>
  <c r="F10" i="2" s="1"/>
  <c r="F11" i="2" s="1"/>
  <c r="F12" i="2" s="1"/>
  <c r="T12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C23" i="10"/>
  <c r="C15" i="10"/>
  <c r="F2" i="10"/>
  <c r="AD21" i="10"/>
  <c r="AD31" i="10"/>
  <c r="AD41" i="10"/>
  <c r="AD19" i="10"/>
  <c r="AD52" i="10"/>
  <c r="AD39" i="10"/>
  <c r="AD34" i="10"/>
  <c r="AD44" i="10"/>
  <c r="AD51" i="10"/>
  <c r="AD36" i="10"/>
  <c r="AD42" i="10"/>
  <c r="AD49" i="10"/>
  <c r="AD40" i="10"/>
  <c r="AD47" i="10"/>
  <c r="C29" i="10"/>
  <c r="AD18" i="10"/>
  <c r="AD3" i="10"/>
  <c r="AD16" i="10"/>
  <c r="AD17" i="10"/>
  <c r="AD14" i="10"/>
  <c r="AD9" i="10"/>
  <c r="AD6" i="10"/>
  <c r="AD27" i="10"/>
  <c r="AD24" i="10"/>
  <c r="AD22" i="10"/>
  <c r="AD20" i="10"/>
  <c r="AD12" i="10"/>
  <c r="AD10" i="10"/>
  <c r="AD32" i="10"/>
  <c r="AD26" i="10"/>
  <c r="AD5" i="10"/>
  <c r="AD25" i="10"/>
  <c r="AD23" i="10"/>
  <c r="AD50" i="10"/>
  <c r="AD38" i="10"/>
  <c r="AD28" i="10"/>
  <c r="AD30" i="10"/>
  <c r="AD7" i="10"/>
  <c r="AD35" i="10"/>
  <c r="AD15" i="10"/>
  <c r="AD11" i="10"/>
  <c r="AD13" i="10"/>
  <c r="AD8" i="10"/>
  <c r="AD4" i="10"/>
  <c r="AD43" i="10"/>
  <c r="AD33" i="10"/>
  <c r="AD37" i="10"/>
  <c r="AD46" i="10"/>
  <c r="AD48" i="10"/>
  <c r="AJ5" i="10"/>
  <c r="AD45" i="10"/>
  <c r="AD29" i="10"/>
  <c r="R12" i="2"/>
  <c r="R3" i="2"/>
  <c r="R5" i="2"/>
  <c r="R6" i="2"/>
  <c r="R7" i="2"/>
  <c r="R9" i="2"/>
  <c r="R10" i="2"/>
  <c r="R4" i="2"/>
  <c r="R11" i="2"/>
  <c r="C18" i="2"/>
  <c r="F21" i="2" s="1"/>
  <c r="R8" i="2"/>
  <c r="R2" i="2"/>
  <c r="S2" i="2" s="1"/>
  <c r="S3" i="2" s="1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C21" i="2"/>
  <c r="C22" i="2" s="1"/>
  <c r="G3" i="2" s="1"/>
  <c r="J3" i="2" s="1"/>
  <c r="C15" i="2"/>
  <c r="J2" i="2"/>
  <c r="AG6" i="10"/>
  <c r="F15" i="2" l="1"/>
  <c r="G15" i="2" s="1"/>
  <c r="M15" i="2" s="1"/>
  <c r="F18" i="2"/>
  <c r="G18" i="2" s="1"/>
  <c r="F16" i="2"/>
  <c r="G16" i="2" s="1"/>
  <c r="M16" i="2" s="1"/>
  <c r="F19" i="2"/>
  <c r="G19" i="2" s="1"/>
  <c r="M19" i="2" s="1"/>
  <c r="F20" i="2"/>
  <c r="G20" i="2" s="1"/>
  <c r="M20" i="2" s="1"/>
  <c r="F14" i="2"/>
  <c r="G14" i="2" s="1"/>
  <c r="M14" i="2" s="1"/>
  <c r="R19" i="2"/>
  <c r="R14" i="2"/>
  <c r="F13" i="2"/>
  <c r="G21" i="2"/>
  <c r="T21" i="2"/>
  <c r="R21" i="2"/>
  <c r="G2" i="10"/>
  <c r="M2" i="10" s="1"/>
  <c r="M18" i="2"/>
  <c r="J18" i="2"/>
  <c r="Q6" i="2"/>
  <c r="Q21" i="2"/>
  <c r="Q10" i="2"/>
  <c r="Q11" i="2"/>
  <c r="Q2" i="2"/>
  <c r="I2" i="2" s="1"/>
  <c r="L2" i="2" s="1"/>
  <c r="Q13" i="2"/>
  <c r="Q9" i="2"/>
  <c r="Q16" i="2"/>
  <c r="Q3" i="2"/>
  <c r="I3" i="2" s="1"/>
  <c r="L3" i="2" s="1"/>
  <c r="Q4" i="2"/>
  <c r="Q18" i="2"/>
  <c r="Q12" i="2"/>
  <c r="Q8" i="2"/>
  <c r="Q7" i="2"/>
  <c r="C27" i="2"/>
  <c r="Q5" i="2"/>
  <c r="J16" i="2"/>
  <c r="T16" i="2"/>
  <c r="F22" i="2"/>
  <c r="Q22" i="2" s="1"/>
  <c r="J20" i="2"/>
  <c r="R18" i="2"/>
  <c r="T19" i="2"/>
  <c r="R15" i="2"/>
  <c r="C19" i="2"/>
  <c r="F32" i="2"/>
  <c r="Q32" i="2" s="1"/>
  <c r="M3" i="2"/>
  <c r="G4" i="2"/>
  <c r="F17" i="2"/>
  <c r="Q17" i="2" s="1"/>
  <c r="T18" i="2"/>
  <c r="R16" i="2"/>
  <c r="C28" i="2"/>
  <c r="C27" i="10"/>
  <c r="C26" i="10"/>
  <c r="C30" i="10"/>
  <c r="W2" i="10"/>
  <c r="C17" i="10"/>
  <c r="C18" i="10" s="1"/>
  <c r="C31" i="10"/>
  <c r="J15" i="2"/>
  <c r="Q14" i="2" l="1"/>
  <c r="Q19" i="2"/>
  <c r="Q20" i="2"/>
  <c r="Q15" i="2"/>
  <c r="T15" i="2"/>
  <c r="R20" i="2"/>
  <c r="T14" i="2"/>
  <c r="J14" i="2"/>
  <c r="T20" i="2"/>
  <c r="J19" i="2"/>
  <c r="G13" i="2"/>
  <c r="T13" i="2"/>
  <c r="R13" i="2"/>
  <c r="F31" i="2"/>
  <c r="G32" i="2"/>
  <c r="T32" i="2"/>
  <c r="R32" i="2"/>
  <c r="I4" i="2"/>
  <c r="L4" i="2" s="1"/>
  <c r="M4" i="2"/>
  <c r="G5" i="2"/>
  <c r="J4" i="2"/>
  <c r="C21" i="10"/>
  <c r="C20" i="10" s="1"/>
  <c r="I2" i="10"/>
  <c r="L2" i="10" s="1"/>
  <c r="O2" i="10"/>
  <c r="G17" i="2"/>
  <c r="R17" i="2"/>
  <c r="T17" i="2"/>
  <c r="G22" i="2"/>
  <c r="R22" i="2"/>
  <c r="T22" i="2"/>
  <c r="M21" i="2"/>
  <c r="J21" i="2"/>
  <c r="M13" i="2" l="1"/>
  <c r="J13" i="2"/>
  <c r="M22" i="2"/>
  <c r="J22" i="2"/>
  <c r="F30" i="2"/>
  <c r="G31" i="2"/>
  <c r="R31" i="2"/>
  <c r="T31" i="2"/>
  <c r="Q31" i="2"/>
  <c r="M17" i="2"/>
  <c r="J17" i="2"/>
  <c r="F4" i="10"/>
  <c r="G4" i="10" s="1"/>
  <c r="F5" i="10"/>
  <c r="G5" i="10" s="1"/>
  <c r="F6" i="10"/>
  <c r="G6" i="10" s="1"/>
  <c r="F9" i="10"/>
  <c r="G9" i="10" s="1"/>
  <c r="F19" i="10"/>
  <c r="G19" i="10" s="1"/>
  <c r="F20" i="10"/>
  <c r="G20" i="10" s="1"/>
  <c r="F22" i="10"/>
  <c r="G22" i="10" s="1"/>
  <c r="F26" i="10"/>
  <c r="G26" i="10" s="1"/>
  <c r="F8" i="10"/>
  <c r="G8" i="10" s="1"/>
  <c r="F21" i="10"/>
  <c r="G21" i="10" s="1"/>
  <c r="F15" i="10"/>
  <c r="G15" i="10" s="1"/>
  <c r="F25" i="10"/>
  <c r="G25" i="10" s="1"/>
  <c r="F7" i="10"/>
  <c r="G7" i="10" s="1"/>
  <c r="F10" i="10"/>
  <c r="G10" i="10" s="1"/>
  <c r="F3" i="10"/>
  <c r="G3" i="10" s="1"/>
  <c r="F12" i="10"/>
  <c r="G12" i="10" s="1"/>
  <c r="F13" i="10"/>
  <c r="G13" i="10" s="1"/>
  <c r="F17" i="10"/>
  <c r="G17" i="10" s="1"/>
  <c r="F23" i="10"/>
  <c r="G23" i="10" s="1"/>
  <c r="F24" i="10"/>
  <c r="G24" i="10" s="1"/>
  <c r="F27" i="10"/>
  <c r="F14" i="10"/>
  <c r="G14" i="10" s="1"/>
  <c r="F16" i="10"/>
  <c r="G16" i="10" s="1"/>
  <c r="F18" i="10"/>
  <c r="G18" i="10" s="1"/>
  <c r="F11" i="10"/>
  <c r="G11" i="10" s="1"/>
  <c r="I5" i="2"/>
  <c r="L5" i="2" s="1"/>
  <c r="M5" i="2"/>
  <c r="G6" i="2"/>
  <c r="J5" i="2"/>
  <c r="M20" i="10" l="1"/>
  <c r="T20" i="10"/>
  <c r="W20" i="10"/>
  <c r="M18" i="10"/>
  <c r="T18" i="10"/>
  <c r="W18" i="10"/>
  <c r="M16" i="10"/>
  <c r="W16" i="10"/>
  <c r="T16" i="10"/>
  <c r="M14" i="10"/>
  <c r="W14" i="10"/>
  <c r="T14" i="10"/>
  <c r="M4" i="10"/>
  <c r="W4" i="10"/>
  <c r="T4" i="10"/>
  <c r="M17" i="10"/>
  <c r="T17" i="10"/>
  <c r="W17" i="10"/>
  <c r="M13" i="10"/>
  <c r="W13" i="10"/>
  <c r="T13" i="10"/>
  <c r="M9" i="10"/>
  <c r="W9" i="10"/>
  <c r="T9" i="10"/>
  <c r="M6" i="10"/>
  <c r="W6" i="10"/>
  <c r="T6" i="10"/>
  <c r="M5" i="10"/>
  <c r="T5" i="10"/>
  <c r="W5" i="10"/>
  <c r="F36" i="10"/>
  <c r="G36" i="10" s="1"/>
  <c r="F46" i="10"/>
  <c r="G46" i="10" s="1"/>
  <c r="F34" i="10"/>
  <c r="G34" i="10" s="1"/>
  <c r="F44" i="10"/>
  <c r="G44" i="10" s="1"/>
  <c r="F29" i="10"/>
  <c r="G29" i="10" s="1"/>
  <c r="F41" i="10"/>
  <c r="G41" i="10" s="1"/>
  <c r="G27" i="10"/>
  <c r="F42" i="10"/>
  <c r="G42" i="10" s="1"/>
  <c r="F33" i="10"/>
  <c r="G33" i="10" s="1"/>
  <c r="F48" i="10"/>
  <c r="G48" i="10" s="1"/>
  <c r="F38" i="10"/>
  <c r="G38" i="10" s="1"/>
  <c r="F39" i="10"/>
  <c r="G39" i="10" s="1"/>
  <c r="F35" i="10"/>
  <c r="G35" i="10" s="1"/>
  <c r="F37" i="10"/>
  <c r="G37" i="10" s="1"/>
  <c r="F28" i="10"/>
  <c r="G28" i="10" s="1"/>
  <c r="F32" i="10"/>
  <c r="G32" i="10" s="1"/>
  <c r="F43" i="10"/>
  <c r="G43" i="10" s="1"/>
  <c r="F31" i="10"/>
  <c r="G31" i="10" s="1"/>
  <c r="F40" i="10"/>
  <c r="G40" i="10" s="1"/>
  <c r="F47" i="10"/>
  <c r="G47" i="10" s="1"/>
  <c r="F45" i="10"/>
  <c r="G45" i="10" s="1"/>
  <c r="F30" i="10"/>
  <c r="G30" i="10" s="1"/>
  <c r="F50" i="10"/>
  <c r="G50" i="10" s="1"/>
  <c r="F49" i="10"/>
  <c r="G49" i="10" s="1"/>
  <c r="F51" i="10"/>
  <c r="G51" i="10" s="1"/>
  <c r="M24" i="10"/>
  <c r="T24" i="10"/>
  <c r="W24" i="10"/>
  <c r="M23" i="10"/>
  <c r="T23" i="10"/>
  <c r="W23" i="10"/>
  <c r="M12" i="10"/>
  <c r="T12" i="10"/>
  <c r="W12" i="10"/>
  <c r="M11" i="10"/>
  <c r="W11" i="10"/>
  <c r="T11" i="10"/>
  <c r="M6" i="2"/>
  <c r="G7" i="2"/>
  <c r="I6" i="2"/>
  <c r="L6" i="2" s="1"/>
  <c r="J6" i="2"/>
  <c r="M10" i="10"/>
  <c r="T10" i="10"/>
  <c r="W10" i="10"/>
  <c r="M25" i="10"/>
  <c r="W25" i="10"/>
  <c r="T25" i="10"/>
  <c r="M15" i="10"/>
  <c r="W15" i="10"/>
  <c r="T15" i="10"/>
  <c r="M31" i="2"/>
  <c r="J31" i="2"/>
  <c r="M8" i="10"/>
  <c r="W8" i="10"/>
  <c r="T8" i="10"/>
  <c r="G30" i="2"/>
  <c r="F29" i="2"/>
  <c r="T30" i="2"/>
  <c r="R30" i="2"/>
  <c r="Q30" i="2"/>
  <c r="M19" i="10"/>
  <c r="T19" i="10"/>
  <c r="W19" i="10"/>
  <c r="M3" i="10"/>
  <c r="W3" i="10"/>
  <c r="T3" i="10"/>
  <c r="M7" i="10"/>
  <c r="T7" i="10"/>
  <c r="W7" i="10"/>
  <c r="M26" i="10"/>
  <c r="T26" i="10"/>
  <c r="W26" i="10"/>
  <c r="M21" i="10"/>
  <c r="T21" i="10"/>
  <c r="W21" i="10"/>
  <c r="M22" i="10"/>
  <c r="T22" i="10"/>
  <c r="W22" i="10"/>
  <c r="M30" i="2" l="1"/>
  <c r="J30" i="2"/>
  <c r="I11" i="10"/>
  <c r="L11" i="10" s="1"/>
  <c r="O11" i="10"/>
  <c r="Q12" i="10"/>
  <c r="J12" i="10"/>
  <c r="M29" i="10"/>
  <c r="X29" i="10"/>
  <c r="W29" i="10"/>
  <c r="Z29" i="10"/>
  <c r="U29" i="10"/>
  <c r="Y29" i="10"/>
  <c r="T29" i="10"/>
  <c r="O17" i="10"/>
  <c r="I17" i="10"/>
  <c r="L17" i="10" s="1"/>
  <c r="Q23" i="10"/>
  <c r="J23" i="10"/>
  <c r="M30" i="10"/>
  <c r="X30" i="10"/>
  <c r="Z30" i="10"/>
  <c r="W30" i="10"/>
  <c r="T30" i="10"/>
  <c r="U30" i="10"/>
  <c r="Y30" i="10"/>
  <c r="X34" i="10"/>
  <c r="M34" i="10"/>
  <c r="Z34" i="10"/>
  <c r="Y34" i="10"/>
  <c r="W34" i="10"/>
  <c r="T34" i="10"/>
  <c r="U34" i="10"/>
  <c r="Q6" i="10"/>
  <c r="J6" i="10"/>
  <c r="J17" i="10"/>
  <c r="Q17" i="10"/>
  <c r="I14" i="10"/>
  <c r="L14" i="10" s="1"/>
  <c r="O14" i="10"/>
  <c r="I10" i="10"/>
  <c r="L10" i="10" s="1"/>
  <c r="O10" i="10"/>
  <c r="M45" i="10"/>
  <c r="X45" i="10"/>
  <c r="Y45" i="10"/>
  <c r="W45" i="10"/>
  <c r="U45" i="10"/>
  <c r="T45" i="10"/>
  <c r="Z45" i="10"/>
  <c r="M46" i="10"/>
  <c r="X46" i="10"/>
  <c r="T46" i="10"/>
  <c r="U46" i="10"/>
  <c r="Z46" i="10"/>
  <c r="W46" i="10"/>
  <c r="Y46" i="10"/>
  <c r="I6" i="10"/>
  <c r="L6" i="10" s="1"/>
  <c r="O6" i="10"/>
  <c r="I21" i="10"/>
  <c r="L21" i="10" s="1"/>
  <c r="O21" i="10"/>
  <c r="Q10" i="10"/>
  <c r="J10" i="10"/>
  <c r="X47" i="10"/>
  <c r="M47" i="10"/>
  <c r="T47" i="10"/>
  <c r="Y47" i="10"/>
  <c r="W47" i="10"/>
  <c r="Z47" i="10"/>
  <c r="U47" i="10"/>
  <c r="X36" i="10"/>
  <c r="M36" i="10"/>
  <c r="Y36" i="10"/>
  <c r="U36" i="10"/>
  <c r="R36" i="10" s="1"/>
  <c r="W36" i="10"/>
  <c r="T36" i="10"/>
  <c r="Z36" i="10"/>
  <c r="O8" i="10"/>
  <c r="I8" i="10"/>
  <c r="L8" i="10" s="1"/>
  <c r="M42" i="10"/>
  <c r="X42" i="10"/>
  <c r="W42" i="10"/>
  <c r="U42" i="10"/>
  <c r="Z42" i="10"/>
  <c r="T42" i="10"/>
  <c r="Y42" i="10"/>
  <c r="O23" i="10"/>
  <c r="I23" i="10"/>
  <c r="L23" i="10" s="1"/>
  <c r="X50" i="10"/>
  <c r="M50" i="10"/>
  <c r="U50" i="10"/>
  <c r="T50" i="10"/>
  <c r="W50" i="10"/>
  <c r="Z50" i="10"/>
  <c r="Y50" i="10"/>
  <c r="Q21" i="10"/>
  <c r="J21" i="10"/>
  <c r="O19" i="10"/>
  <c r="I19" i="10"/>
  <c r="L19" i="10" s="1"/>
  <c r="Q15" i="10"/>
  <c r="J15" i="10"/>
  <c r="X40" i="10"/>
  <c r="M40" i="10"/>
  <c r="Z40" i="10"/>
  <c r="W40" i="10"/>
  <c r="Y40" i="10"/>
  <c r="T40" i="10"/>
  <c r="U40" i="10"/>
  <c r="I5" i="10"/>
  <c r="L5" i="10" s="1"/>
  <c r="O5" i="10"/>
  <c r="Q4" i="10"/>
  <c r="J4" i="10"/>
  <c r="Q16" i="10"/>
  <c r="J16" i="10"/>
  <c r="Q19" i="10"/>
  <c r="J19" i="10"/>
  <c r="I15" i="10"/>
  <c r="L15" i="10" s="1"/>
  <c r="O15" i="10"/>
  <c r="M31" i="10"/>
  <c r="X31" i="10"/>
  <c r="U31" i="10"/>
  <c r="Z31" i="10"/>
  <c r="Y31" i="10"/>
  <c r="T31" i="10"/>
  <c r="W31" i="10"/>
  <c r="J5" i="10"/>
  <c r="Q5" i="10"/>
  <c r="I4" i="10"/>
  <c r="L4" i="10" s="1"/>
  <c r="O4" i="10"/>
  <c r="O16" i="10"/>
  <c r="I16" i="10"/>
  <c r="L16" i="10" s="1"/>
  <c r="O22" i="10"/>
  <c r="I22" i="10"/>
  <c r="L22" i="10" s="1"/>
  <c r="M43" i="10"/>
  <c r="X43" i="10"/>
  <c r="T43" i="10"/>
  <c r="W43" i="10"/>
  <c r="U43" i="10"/>
  <c r="Y43" i="10"/>
  <c r="Z43" i="10"/>
  <c r="J13" i="10"/>
  <c r="Q13" i="10"/>
  <c r="Q9" i="10"/>
  <c r="J9" i="10"/>
  <c r="J25" i="10"/>
  <c r="Q25" i="10"/>
  <c r="O25" i="10"/>
  <c r="I25" i="10"/>
  <c r="L25" i="10" s="1"/>
  <c r="X27" i="10"/>
  <c r="M27" i="10"/>
  <c r="T27" i="10"/>
  <c r="W27" i="10"/>
  <c r="Z27" i="10"/>
  <c r="Y27" i="10"/>
  <c r="U27" i="10"/>
  <c r="X51" i="10"/>
  <c r="M51" i="10"/>
  <c r="T51" i="10"/>
  <c r="Z51" i="10"/>
  <c r="W51" i="10"/>
  <c r="Y51" i="10"/>
  <c r="U51" i="10"/>
  <c r="M49" i="10"/>
  <c r="X49" i="10"/>
  <c r="Y49" i="10"/>
  <c r="U49" i="10"/>
  <c r="T49" i="10"/>
  <c r="W49" i="10"/>
  <c r="Z49" i="10"/>
  <c r="M44" i="10"/>
  <c r="X44" i="10"/>
  <c r="Y44" i="10"/>
  <c r="Z44" i="10"/>
  <c r="W44" i="10"/>
  <c r="U44" i="10"/>
  <c r="T44" i="10"/>
  <c r="X32" i="10"/>
  <c r="M32" i="10"/>
  <c r="Z32" i="10"/>
  <c r="T32" i="10"/>
  <c r="W32" i="10"/>
  <c r="U32" i="10"/>
  <c r="Y32" i="10"/>
  <c r="Q24" i="10"/>
  <c r="J24" i="10"/>
  <c r="Q3" i="10"/>
  <c r="J3" i="10"/>
  <c r="M35" i="10"/>
  <c r="X35" i="10"/>
  <c r="Z35" i="10"/>
  <c r="Y35" i="10"/>
  <c r="W35" i="10"/>
  <c r="T35" i="10"/>
  <c r="U35" i="10"/>
  <c r="I20" i="10"/>
  <c r="L20" i="10" s="1"/>
  <c r="O20" i="10"/>
  <c r="Q11" i="10"/>
  <c r="J11" i="10"/>
  <c r="M48" i="10"/>
  <c r="X48" i="10"/>
  <c r="Z48" i="10"/>
  <c r="W48" i="10"/>
  <c r="T48" i="10"/>
  <c r="U48" i="10"/>
  <c r="Y48" i="10"/>
  <c r="O12" i="10"/>
  <c r="I12" i="10"/>
  <c r="L12" i="10" s="1"/>
  <c r="X41" i="10"/>
  <c r="M41" i="10"/>
  <c r="T41" i="10"/>
  <c r="Y41" i="10"/>
  <c r="U41" i="10"/>
  <c r="R41" i="10" s="1"/>
  <c r="W41" i="10"/>
  <c r="Z41" i="10"/>
  <c r="O26" i="10"/>
  <c r="I26" i="10"/>
  <c r="L26" i="10" s="1"/>
  <c r="Q22" i="10"/>
  <c r="J22" i="10"/>
  <c r="I24" i="10"/>
  <c r="L24" i="10" s="1"/>
  <c r="O24" i="10"/>
  <c r="M28" i="10"/>
  <c r="X28" i="10"/>
  <c r="Z28" i="10"/>
  <c r="W28" i="10"/>
  <c r="Y28" i="10"/>
  <c r="U28" i="10"/>
  <c r="T28" i="10"/>
  <c r="I3" i="10"/>
  <c r="L3" i="10" s="1"/>
  <c r="O3" i="10"/>
  <c r="G8" i="2"/>
  <c r="M7" i="2"/>
  <c r="I7" i="2"/>
  <c r="L7" i="2" s="1"/>
  <c r="J7" i="2"/>
  <c r="X39" i="10"/>
  <c r="M39" i="10"/>
  <c r="Z39" i="10"/>
  <c r="Y39" i="10"/>
  <c r="T39" i="10"/>
  <c r="W39" i="10"/>
  <c r="U39" i="10"/>
  <c r="R39" i="10" s="1"/>
  <c r="I18" i="10"/>
  <c r="L18" i="10" s="1"/>
  <c r="O18" i="10"/>
  <c r="J20" i="10"/>
  <c r="Q20" i="10"/>
  <c r="X38" i="10"/>
  <c r="M38" i="10"/>
  <c r="T38" i="10"/>
  <c r="Y38" i="10"/>
  <c r="Z38" i="10"/>
  <c r="U38" i="10"/>
  <c r="W38" i="10"/>
  <c r="Q8" i="10"/>
  <c r="J8" i="10"/>
  <c r="O9" i="10"/>
  <c r="I9" i="10"/>
  <c r="L9" i="10" s="1"/>
  <c r="X33" i="10"/>
  <c r="M33" i="10"/>
  <c r="U33" i="10"/>
  <c r="R33" i="10" s="1"/>
  <c r="W33" i="10"/>
  <c r="Y33" i="10"/>
  <c r="T33" i="10"/>
  <c r="Z33" i="10"/>
  <c r="I7" i="10"/>
  <c r="L7" i="10" s="1"/>
  <c r="O7" i="10"/>
  <c r="Q26" i="10"/>
  <c r="J26" i="10"/>
  <c r="Q7" i="10"/>
  <c r="J7" i="10"/>
  <c r="Q14" i="10"/>
  <c r="J14" i="10"/>
  <c r="O13" i="10"/>
  <c r="I13" i="10"/>
  <c r="L13" i="10" s="1"/>
  <c r="M37" i="10"/>
  <c r="X37" i="10"/>
  <c r="Y37" i="10"/>
  <c r="W37" i="10"/>
  <c r="Z37" i="10"/>
  <c r="T37" i="10"/>
  <c r="U37" i="10"/>
  <c r="F28" i="2"/>
  <c r="G29" i="2"/>
  <c r="T29" i="2"/>
  <c r="R29" i="2"/>
  <c r="Q29" i="2"/>
  <c r="F52" i="10"/>
  <c r="G52" i="10" s="1"/>
  <c r="J18" i="10"/>
  <c r="Q18" i="10"/>
  <c r="AA49" i="10" l="1"/>
  <c r="R44" i="10"/>
  <c r="R28" i="10"/>
  <c r="J51" i="10"/>
  <c r="Q51" i="10"/>
  <c r="Q36" i="10"/>
  <c r="J36" i="10"/>
  <c r="M29" i="2"/>
  <c r="J29" i="2"/>
  <c r="AA30" i="10"/>
  <c r="O39" i="10"/>
  <c r="AA51" i="10"/>
  <c r="AA41" i="10"/>
  <c r="J31" i="10"/>
  <c r="Q31" i="10"/>
  <c r="AA36" i="10"/>
  <c r="R43" i="10"/>
  <c r="AA39" i="10"/>
  <c r="R35" i="10"/>
  <c r="O43" i="10"/>
  <c r="R42" i="10"/>
  <c r="R46" i="10"/>
  <c r="J35" i="10"/>
  <c r="Q35" i="10"/>
  <c r="O27" i="10"/>
  <c r="I27" i="10"/>
  <c r="L27" i="10" s="1"/>
  <c r="J43" i="10"/>
  <c r="Q43" i="10"/>
  <c r="R31" i="10"/>
  <c r="O42" i="10"/>
  <c r="O47" i="10"/>
  <c r="J46" i="10"/>
  <c r="Q46" i="10"/>
  <c r="O35" i="10"/>
  <c r="O49" i="10"/>
  <c r="Q27" i="10"/>
  <c r="J27" i="10"/>
  <c r="AA43" i="10"/>
  <c r="I43" i="10" s="1"/>
  <c r="L43" i="10" s="1"/>
  <c r="AA31" i="10"/>
  <c r="AA42" i="10"/>
  <c r="AA46" i="10"/>
  <c r="R34" i="10"/>
  <c r="J28" i="10"/>
  <c r="Q28" i="10"/>
  <c r="O44" i="10"/>
  <c r="G28" i="2"/>
  <c r="F27" i="2"/>
  <c r="T28" i="2"/>
  <c r="R28" i="2"/>
  <c r="Q28" i="2"/>
  <c r="AA44" i="10"/>
  <c r="O46" i="10"/>
  <c r="R47" i="10"/>
  <c r="Q49" i="10"/>
  <c r="J49" i="10"/>
  <c r="Q47" i="10"/>
  <c r="J47" i="10"/>
  <c r="J34" i="10"/>
  <c r="Q34" i="10"/>
  <c r="R38" i="10"/>
  <c r="R32" i="10"/>
  <c r="R49" i="10"/>
  <c r="AA27" i="10"/>
  <c r="I30" i="10" s="1"/>
  <c r="L30" i="10" s="1"/>
  <c r="R40" i="10"/>
  <c r="O34" i="10"/>
  <c r="J29" i="10"/>
  <c r="Q29" i="10"/>
  <c r="G9" i="2"/>
  <c r="I8" i="2"/>
  <c r="L8" i="2" s="1"/>
  <c r="M8" i="2"/>
  <c r="J8" i="2"/>
  <c r="AA35" i="10"/>
  <c r="O32" i="10"/>
  <c r="J40" i="10"/>
  <c r="Q40" i="10"/>
  <c r="AA47" i="10"/>
  <c r="J45" i="10"/>
  <c r="Q45" i="10"/>
  <c r="O28" i="10"/>
  <c r="AA33" i="10"/>
  <c r="Q42" i="10"/>
  <c r="J42" i="10"/>
  <c r="R29" i="10"/>
  <c r="M52" i="10"/>
  <c r="X52" i="10"/>
  <c r="Z52" i="10"/>
  <c r="T52" i="10"/>
  <c r="U52" i="10"/>
  <c r="R52" i="10" s="1"/>
  <c r="Y52" i="10"/>
  <c r="W52" i="10"/>
  <c r="O50" i="10"/>
  <c r="J50" i="10"/>
  <c r="Q50" i="10"/>
  <c r="O29" i="10"/>
  <c r="AA38" i="10"/>
  <c r="P38" i="10" s="1"/>
  <c r="AA32" i="10"/>
  <c r="R51" i="10"/>
  <c r="R50" i="10"/>
  <c r="AA45" i="10"/>
  <c r="AA29" i="10"/>
  <c r="Q33" i="10"/>
  <c r="J33" i="10"/>
  <c r="O30" i="10"/>
  <c r="AA37" i="10"/>
  <c r="O36" i="10"/>
  <c r="O45" i="10"/>
  <c r="I45" i="10"/>
  <c r="L45" i="10" s="1"/>
  <c r="Q37" i="10"/>
  <c r="J37" i="10"/>
  <c r="AA48" i="10"/>
  <c r="AA40" i="10"/>
  <c r="I40" i="10" s="1"/>
  <c r="L40" i="10" s="1"/>
  <c r="R30" i="10"/>
  <c r="O41" i="10"/>
  <c r="O33" i="10"/>
  <c r="Q41" i="10"/>
  <c r="J41" i="10"/>
  <c r="J39" i="10"/>
  <c r="Q39" i="10"/>
  <c r="AA28" i="10"/>
  <c r="I28" i="10" s="1"/>
  <c r="L28" i="10" s="1"/>
  <c r="O31" i="10"/>
  <c r="O38" i="10"/>
  <c r="R48" i="10"/>
  <c r="Q32" i="10"/>
  <c r="J32" i="10"/>
  <c r="R45" i="10"/>
  <c r="J38" i="10"/>
  <c r="Q38" i="10"/>
  <c r="Q48" i="10"/>
  <c r="J48" i="10"/>
  <c r="O40" i="10"/>
  <c r="R37" i="10"/>
  <c r="O48" i="10"/>
  <c r="AA34" i="10"/>
  <c r="O37" i="10"/>
  <c r="Q44" i="10"/>
  <c r="J44" i="10"/>
  <c r="O51" i="10"/>
  <c r="AA50" i="10"/>
  <c r="Q30" i="10"/>
  <c r="J30" i="10"/>
  <c r="I46" i="10" l="1"/>
  <c r="L46" i="10" s="1"/>
  <c r="I41" i="10"/>
  <c r="L41" i="10" s="1"/>
  <c r="M28" i="2"/>
  <c r="J28" i="2"/>
  <c r="P36" i="10"/>
  <c r="P47" i="10"/>
  <c r="P28" i="10"/>
  <c r="P34" i="10"/>
  <c r="P31" i="10"/>
  <c r="P51" i="10"/>
  <c r="I33" i="10"/>
  <c r="L33" i="10" s="1"/>
  <c r="AA52" i="10"/>
  <c r="P52" i="10" s="1"/>
  <c r="I39" i="10"/>
  <c r="L39" i="10" s="1"/>
  <c r="P30" i="10"/>
  <c r="F26" i="2"/>
  <c r="G27" i="2"/>
  <c r="T27" i="2"/>
  <c r="R27" i="2"/>
  <c r="Q27" i="2"/>
  <c r="P50" i="10"/>
  <c r="I38" i="10"/>
  <c r="L38" i="10" s="1"/>
  <c r="I36" i="10"/>
  <c r="L36" i="10" s="1"/>
  <c r="I44" i="10"/>
  <c r="L44" i="10" s="1"/>
  <c r="I50" i="10"/>
  <c r="L50" i="10" s="1"/>
  <c r="P41" i="10"/>
  <c r="P37" i="10"/>
  <c r="I37" i="10"/>
  <c r="L37" i="10" s="1"/>
  <c r="O52" i="10"/>
  <c r="I32" i="10"/>
  <c r="L32" i="10" s="1"/>
  <c r="P42" i="10"/>
  <c r="I48" i="10"/>
  <c r="L48" i="10" s="1"/>
  <c r="P35" i="10"/>
  <c r="P43" i="10"/>
  <c r="P49" i="10"/>
  <c r="I35" i="10"/>
  <c r="L35" i="10" s="1"/>
  <c r="P40" i="10"/>
  <c r="I49" i="10"/>
  <c r="L49" i="10" s="1"/>
  <c r="P29" i="10"/>
  <c r="P45" i="10"/>
  <c r="P44" i="10"/>
  <c r="P48" i="10"/>
  <c r="I34" i="10"/>
  <c r="L34" i="10" s="1"/>
  <c r="P33" i="10"/>
  <c r="I51" i="10"/>
  <c r="L51" i="10" s="1"/>
  <c r="I29" i="10"/>
  <c r="L29" i="10" s="1"/>
  <c r="I42" i="10"/>
  <c r="L42" i="10" s="1"/>
  <c r="I31" i="10"/>
  <c r="L31" i="10" s="1"/>
  <c r="P46" i="10"/>
  <c r="Q52" i="10"/>
  <c r="J52" i="10"/>
  <c r="I9" i="2"/>
  <c r="L9" i="2" s="1"/>
  <c r="M9" i="2"/>
  <c r="G10" i="2"/>
  <c r="J9" i="2"/>
  <c r="P32" i="10"/>
  <c r="I47" i="10"/>
  <c r="L47" i="10" s="1"/>
  <c r="P39" i="10"/>
  <c r="G26" i="2" l="1"/>
  <c r="F25" i="2"/>
  <c r="T26" i="2"/>
  <c r="R26" i="2"/>
  <c r="Q26" i="2"/>
  <c r="I10" i="2"/>
  <c r="L10" i="2" s="1"/>
  <c r="M10" i="2"/>
  <c r="G11" i="2"/>
  <c r="J10" i="2"/>
  <c r="I52" i="10"/>
  <c r="L52" i="10" s="1"/>
  <c r="M27" i="2"/>
  <c r="J27" i="2"/>
  <c r="M26" i="2" l="1"/>
  <c r="J26" i="2"/>
  <c r="G12" i="2"/>
  <c r="J11" i="2"/>
  <c r="I11" i="2"/>
  <c r="L11" i="2" s="1"/>
  <c r="M11" i="2"/>
  <c r="G25" i="2"/>
  <c r="F24" i="2"/>
  <c r="T25" i="2"/>
  <c r="R25" i="2"/>
  <c r="Q25" i="2"/>
  <c r="M25" i="2" l="1"/>
  <c r="J25" i="2"/>
  <c r="M12" i="2"/>
  <c r="I12" i="2"/>
  <c r="J12" i="2"/>
  <c r="G24" i="2"/>
  <c r="F23" i="2"/>
  <c r="R24" i="2"/>
  <c r="T24" i="2"/>
  <c r="Q24" i="2"/>
  <c r="I18" i="2" l="1"/>
  <c r="L18" i="2" s="1"/>
  <c r="I25" i="2"/>
  <c r="L25" i="2" s="1"/>
  <c r="I20" i="2"/>
  <c r="L20" i="2" s="1"/>
  <c r="I24" i="2"/>
  <c r="L24" i="2" s="1"/>
  <c r="I21" i="2"/>
  <c r="L21" i="2" s="1"/>
  <c r="I30" i="2"/>
  <c r="L30" i="2" s="1"/>
  <c r="I31" i="2"/>
  <c r="L31" i="2" s="1"/>
  <c r="I29" i="2"/>
  <c r="L29" i="2" s="1"/>
  <c r="I17" i="2"/>
  <c r="L17" i="2" s="1"/>
  <c r="I15" i="2"/>
  <c r="L15" i="2" s="1"/>
  <c r="I14" i="2"/>
  <c r="L14" i="2" s="1"/>
  <c r="I19" i="2"/>
  <c r="L19" i="2" s="1"/>
  <c r="I16" i="2"/>
  <c r="L16" i="2" s="1"/>
  <c r="I22" i="2"/>
  <c r="L22" i="2" s="1"/>
  <c r="L12" i="2"/>
  <c r="I13" i="2"/>
  <c r="L13" i="2" s="1"/>
  <c r="I26" i="2"/>
  <c r="L26" i="2" s="1"/>
  <c r="I28" i="2"/>
  <c r="L28" i="2" s="1"/>
  <c r="I27" i="2"/>
  <c r="L27" i="2" s="1"/>
  <c r="M24" i="2"/>
  <c r="J24" i="2"/>
  <c r="G23" i="2"/>
  <c r="R23" i="2"/>
  <c r="T23" i="2"/>
  <c r="Q23" i="2"/>
  <c r="I23" i="2" l="1"/>
  <c r="L23" i="2" s="1"/>
  <c r="J23" i="2"/>
  <c r="M23" i="2"/>
</calcChain>
</file>

<file path=xl/sharedStrings.xml><?xml version="1.0" encoding="utf-8"?>
<sst xmlns="http://schemas.openxmlformats.org/spreadsheetml/2006/main" count="100" uniqueCount="61">
  <si>
    <t>k</t>
  </si>
  <si>
    <t>l</t>
  </si>
  <si>
    <t>p'</t>
  </si>
  <si>
    <t>J</t>
  </si>
  <si>
    <t>CS</t>
  </si>
  <si>
    <t>Ed</t>
  </si>
  <si>
    <r>
      <t>s</t>
    </r>
    <r>
      <rPr>
        <sz val="10"/>
        <rFont val="Arial"/>
        <family val="2"/>
      </rPr>
      <t>'v</t>
    </r>
  </si>
  <si>
    <r>
      <t>s</t>
    </r>
    <r>
      <rPr>
        <sz val="10"/>
        <rFont val="Arial"/>
        <family val="2"/>
      </rPr>
      <t>'r</t>
    </r>
  </si>
  <si>
    <t>n</t>
  </si>
  <si>
    <r>
      <t>f</t>
    </r>
    <r>
      <rPr>
        <sz val="10"/>
        <rFont val="Arial"/>
        <family val="2"/>
      </rPr>
      <t xml:space="preserve"> (º)</t>
    </r>
  </si>
  <si>
    <r>
      <t>n</t>
    </r>
    <r>
      <rPr>
        <sz val="10"/>
        <rFont val="Arial"/>
        <family val="2"/>
      </rPr>
      <t>1</t>
    </r>
  </si>
  <si>
    <t>m</t>
  </si>
  <si>
    <t>M</t>
  </si>
  <si>
    <t>OCR</t>
  </si>
  <si>
    <t>p' 0</t>
  </si>
  <si>
    <t>x</t>
  </si>
  <si>
    <t>p' plas</t>
  </si>
  <si>
    <t>J plas</t>
  </si>
  <si>
    <t>p'  CS</t>
  </si>
  <si>
    <t>J CS</t>
  </si>
  <si>
    <t>p' u</t>
  </si>
  <si>
    <t>Aux</t>
  </si>
  <si>
    <t>Material properties</t>
  </si>
  <si>
    <t>Stress state</t>
  </si>
  <si>
    <t>Data</t>
  </si>
  <si>
    <t>Elastic limit</t>
  </si>
  <si>
    <t>p' (kPa)</t>
  </si>
  <si>
    <t>J (kPa)</t>
  </si>
  <si>
    <t>Point</t>
  </si>
  <si>
    <t>Init</t>
  </si>
  <si>
    <r>
      <t>D</t>
    </r>
    <r>
      <rPr>
        <sz val="10"/>
        <rFont val="Arial"/>
        <family val="2"/>
      </rPr>
      <t>u (kPa)</t>
    </r>
  </si>
  <si>
    <t>Elasto-plasticity</t>
  </si>
  <si>
    <t>G inst</t>
  </si>
  <si>
    <t>Elas p'c</t>
  </si>
  <si>
    <t>Elas p'i</t>
  </si>
  <si>
    <t>Plas p'c</t>
  </si>
  <si>
    <t>Plas p'i</t>
  </si>
  <si>
    <t>Constants</t>
  </si>
  <si>
    <t>Elast.</t>
  </si>
  <si>
    <t>Plast.</t>
  </si>
  <si>
    <t>p' h</t>
  </si>
  <si>
    <t>pplas</t>
  </si>
  <si>
    <t>Jplas</t>
  </si>
  <si>
    <t>F</t>
  </si>
  <si>
    <t>A</t>
  </si>
  <si>
    <t>B</t>
  </si>
  <si>
    <t>C</t>
  </si>
  <si>
    <t>J plas constants</t>
  </si>
  <si>
    <t>YIELD</t>
  </si>
  <si>
    <r>
      <t>e</t>
    </r>
    <r>
      <rPr>
        <sz val="10"/>
        <rFont val="Arial"/>
        <family val="2"/>
      </rPr>
      <t>vol</t>
    </r>
  </si>
  <si>
    <t>evol elas</t>
  </si>
  <si>
    <t>evol plas</t>
  </si>
  <si>
    <t>ed elas</t>
  </si>
  <si>
    <t>ed plas 1</t>
  </si>
  <si>
    <t>ed plas 2</t>
  </si>
  <si>
    <t>ed plas 3</t>
  </si>
  <si>
    <t>(C) David Taborda 2008</t>
  </si>
  <si>
    <t>EdElas</t>
  </si>
  <si>
    <t>EdPlas</t>
  </si>
  <si>
    <t>EvolElas</t>
  </si>
  <si>
    <t>EvolPlas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</si>
</sst>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4" x14ac:knownFonts="1">
    <font>
      <sz val="10"/>
      <name val="Arial"/>
    </font>
    <font>
      <sz val="8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2" borderId="2" xfId="0" applyNumberFormat="1" applyFill="1" applyBorder="1"/>
    <xf numFmtId="2" fontId="0" fillId="3" borderId="2" xfId="0" applyNumberFormat="1" applyFill="1" applyBorder="1"/>
    <xf numFmtId="0" fontId="0" fillId="0" borderId="3" xfId="0" applyBorder="1" applyAlignment="1">
      <alignment horizontal="center"/>
    </xf>
    <xf numFmtId="2" fontId="0" fillId="2" borderId="2" xfId="0" applyNumberFormat="1" applyFill="1" applyBorder="1" applyAlignment="1">
      <alignment horizontal="right"/>
    </xf>
    <xf numFmtId="166" fontId="0" fillId="3" borderId="2" xfId="0" applyNumberFormat="1" applyFill="1" applyBorder="1"/>
    <xf numFmtId="0" fontId="0" fillId="0" borderId="4" xfId="0" applyBorder="1" applyAlignment="1">
      <alignment horizontal="center"/>
    </xf>
    <xf numFmtId="0" fontId="0" fillId="0" borderId="5" xfId="0" applyBorder="1"/>
    <xf numFmtId="2" fontId="0" fillId="3" borderId="6" xfId="0" applyNumberForma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164" fontId="0" fillId="3" borderId="2" xfId="0" applyNumberFormat="1" applyFill="1" applyBorder="1"/>
    <xf numFmtId="164" fontId="0" fillId="3" borderId="6" xfId="0" applyNumberFormat="1" applyFill="1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6" xfId="0" applyBorder="1"/>
    <xf numFmtId="0" fontId="0" fillId="0" borderId="0" xfId="0" applyAlignment="1">
      <alignment horizontal="right"/>
    </xf>
    <xf numFmtId="165" fontId="0" fillId="0" borderId="0" xfId="0" applyNumberFormat="1"/>
    <xf numFmtId="11" fontId="0" fillId="0" borderId="0" xfId="0" applyNumberFormat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9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5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10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5928128914351E-2"/>
          <c:y val="7.6246334310850442E-2"/>
          <c:w val="0.67551087722305203"/>
          <c:h val="0.791788856304985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'Drained (Poisson)'!$AC$2:$AC$532</c:f>
              <c:numCache>
                <c:formatCode>General</c:formatCode>
                <c:ptCount val="5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'Drained (Poisson)'!$AD$2:$AD$532</c:f>
              <c:numCache>
                <c:formatCode>General</c:formatCode>
                <c:ptCount val="531"/>
                <c:pt idx="0">
                  <c:v>0</c:v>
                </c:pt>
                <c:pt idx="1">
                  <c:v>52.022021255394172</c:v>
                </c:pt>
                <c:pt idx="2">
                  <c:v>72.815661407963702</c:v>
                </c:pt>
                <c:pt idx="3">
                  <c:v>88.246753777958304</c:v>
                </c:pt>
                <c:pt idx="4">
                  <c:v>100.80871844092569</c:v>
                </c:pt>
                <c:pt idx="5">
                  <c:v>111.47575983298751</c:v>
                </c:pt>
                <c:pt idx="6">
                  <c:v>120.75111387588872</c:v>
                </c:pt>
                <c:pt idx="7">
                  <c:v>128.93547661322552</c:v>
                </c:pt>
                <c:pt idx="8">
                  <c:v>136.2256286899688</c:v>
                </c:pt>
                <c:pt idx="9">
                  <c:v>142.75862793456909</c:v>
                </c:pt>
                <c:pt idx="10">
                  <c:v>148.63434644398333</c:v>
                </c:pt>
                <c:pt idx="11">
                  <c:v>153.92807148530525</c:v>
                </c:pt>
                <c:pt idx="12">
                  <c:v>158.6980547921942</c:v>
                </c:pt>
                <c:pt idx="13">
                  <c:v>162.99028545822338</c:v>
                </c:pt>
                <c:pt idx="14">
                  <c:v>166.84164009013423</c:v>
                </c:pt>
                <c:pt idx="15">
                  <c:v>170.28203586246104</c:v>
                </c:pt>
                <c:pt idx="16">
                  <c:v>173.33594480732751</c:v>
                </c:pt>
                <c:pt idx="17">
                  <c:v>176.02348406482349</c:v>
                </c:pt>
                <c:pt idx="18">
                  <c:v>178.36121573278001</c:v>
                </c:pt>
                <c:pt idx="19">
                  <c:v>180.36274218451345</c:v>
                </c:pt>
                <c:pt idx="20">
                  <c:v>182.03915351990926</c:v>
                </c:pt>
                <c:pt idx="21">
                  <c:v>183.39936536274809</c:v>
                </c:pt>
                <c:pt idx="22">
                  <c:v>184.45037319549749</c:v>
                </c:pt>
                <c:pt idx="23">
                  <c:v>185.19744135312365</c:v>
                </c:pt>
                <c:pt idx="24">
                  <c:v>185.64423920718605</c:v>
                </c:pt>
                <c:pt idx="25">
                  <c:v>185.79293305497919</c:v>
                </c:pt>
                <c:pt idx="26">
                  <c:v>185.64423920718602</c:v>
                </c:pt>
                <c:pt idx="27">
                  <c:v>185.19744135312365</c:v>
                </c:pt>
                <c:pt idx="28">
                  <c:v>184.45037319549749</c:v>
                </c:pt>
                <c:pt idx="29">
                  <c:v>183.39936536274811</c:v>
                </c:pt>
                <c:pt idx="30">
                  <c:v>182.03915351990929</c:v>
                </c:pt>
                <c:pt idx="31">
                  <c:v>180.36274218451345</c:v>
                </c:pt>
                <c:pt idx="32">
                  <c:v>178.36121573278001</c:v>
                </c:pt>
                <c:pt idx="33">
                  <c:v>176.02348406482349</c:v>
                </c:pt>
                <c:pt idx="34">
                  <c:v>173.33594480732754</c:v>
                </c:pt>
                <c:pt idx="35">
                  <c:v>170.28203586246104</c:v>
                </c:pt>
                <c:pt idx="36">
                  <c:v>166.84164009013421</c:v>
                </c:pt>
                <c:pt idx="37">
                  <c:v>162.99028545822338</c:v>
                </c:pt>
                <c:pt idx="38">
                  <c:v>158.69805479219423</c:v>
                </c:pt>
                <c:pt idx="39">
                  <c:v>153.92807148530528</c:v>
                </c:pt>
                <c:pt idx="40">
                  <c:v>148.63434644398333</c:v>
                </c:pt>
                <c:pt idx="41">
                  <c:v>142.75862793456909</c:v>
                </c:pt>
                <c:pt idx="42">
                  <c:v>136.2256286899688</c:v>
                </c:pt>
                <c:pt idx="43">
                  <c:v>128.93547661322555</c:v>
                </c:pt>
                <c:pt idx="44">
                  <c:v>120.75111387588873</c:v>
                </c:pt>
                <c:pt idx="45">
                  <c:v>111.47575983298753</c:v>
                </c:pt>
                <c:pt idx="46">
                  <c:v>100.80871844092565</c:v>
                </c:pt>
                <c:pt idx="47">
                  <c:v>88.24675377795829</c:v>
                </c:pt>
                <c:pt idx="48">
                  <c:v>72.815661407963788</c:v>
                </c:pt>
                <c:pt idx="49">
                  <c:v>52.022021255394201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FA-4912-8EB9-41FE4CCC4C7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'Drained (Poisson)'!$AF$2:$AF$3</c:f>
              <c:numCache>
                <c:formatCode>General</c:formatCode>
                <c:ptCount val="2"/>
                <c:pt idx="0">
                  <c:v>100</c:v>
                </c:pt>
                <c:pt idx="1">
                  <c:v>300</c:v>
                </c:pt>
              </c:numCache>
            </c:numRef>
          </c:xVal>
          <c:yVal>
            <c:numRef>
              <c:f>'Drained (Poisson)'!$AG$2:$AG$3</c:f>
              <c:numCache>
                <c:formatCode>General</c:formatCode>
                <c:ptCount val="2"/>
                <c:pt idx="0">
                  <c:v>0</c:v>
                </c:pt>
                <c:pt idx="1">
                  <c:v>346.41016151377545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FA-4912-8EB9-41FE4CCC4C70}"/>
            </c:ext>
          </c:extLst>
        </c:ser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'Drained (Poisson)'!$AF$5:$AF$6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xVal>
          <c:yVal>
            <c:numRef>
              <c:f>'Drained (Poisson)'!$AG$5:$AG$6</c:f>
              <c:numCache>
                <c:formatCode>General</c:formatCode>
                <c:ptCount val="2"/>
                <c:pt idx="0">
                  <c:v>0</c:v>
                </c:pt>
                <c:pt idx="1">
                  <c:v>222.95151966597501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FA-4912-8EB9-41FE4CCC4C70}"/>
            </c:ext>
          </c:extLst>
        </c:ser>
        <c:ser>
          <c:idx val="3"/>
          <c:order val="3"/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'Drained (Poisson)'!$AM$3:$AM$4</c:f>
              <c:numCache>
                <c:formatCode>General</c:formatCode>
                <c:ptCount val="2"/>
                <c:pt idx="0">
                  <c:v>205.55420945019426</c:v>
                </c:pt>
                <c:pt idx="1">
                  <c:v>205.55420945019426</c:v>
                </c:pt>
              </c:numCache>
            </c:numRef>
          </c:xVal>
          <c:yVal>
            <c:numRef>
              <c:f>'Drained (Poisson)'!$AN$3:$AN$4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FA-4912-8EB9-41FE4CCC4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720079"/>
        <c:axId val="1"/>
      </c:scatterChart>
      <c:valAx>
        <c:axId val="1007720079"/>
        <c:scaling>
          <c:orientation val="minMax"/>
          <c:max val="5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772007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86540127861498"/>
          <c:y val="0.35602034578872116"/>
          <c:w val="0.16340399456809379"/>
          <c:h val="0.24037042454525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Constant Poisson's Ratio</c:v>
          </c:tx>
          <c:marker>
            <c:symbol val="none"/>
          </c:marker>
          <c:xVal>
            <c:numRef>
              <c:f>'Drained (Poisson)'!$F$2:$F$52</c:f>
              <c:numCache>
                <c:formatCode>0.00000</c:formatCode>
                <c:ptCount val="51"/>
                <c:pt idx="0">
                  <c:v>200</c:v>
                </c:pt>
                <c:pt idx="1">
                  <c:v>201.94115040778709</c:v>
                </c:pt>
                <c:pt idx="2">
                  <c:v>203.88230081557421</c:v>
                </c:pt>
                <c:pt idx="3">
                  <c:v>205.8234512233613</c:v>
                </c:pt>
                <c:pt idx="4">
                  <c:v>207.76460163114839</c:v>
                </c:pt>
                <c:pt idx="5">
                  <c:v>209.70575203893551</c:v>
                </c:pt>
                <c:pt idx="6">
                  <c:v>211.64690244672261</c:v>
                </c:pt>
                <c:pt idx="7">
                  <c:v>213.58805285450973</c:v>
                </c:pt>
                <c:pt idx="8">
                  <c:v>215.52920326229682</c:v>
                </c:pt>
                <c:pt idx="9">
                  <c:v>217.47035367008391</c:v>
                </c:pt>
                <c:pt idx="10">
                  <c:v>219.41150407787103</c:v>
                </c:pt>
                <c:pt idx="11">
                  <c:v>221.35265448565812</c:v>
                </c:pt>
                <c:pt idx="12">
                  <c:v>223.29380489344521</c:v>
                </c:pt>
                <c:pt idx="13">
                  <c:v>225.23495530123233</c:v>
                </c:pt>
                <c:pt idx="14">
                  <c:v>227.17610570901942</c:v>
                </c:pt>
                <c:pt idx="15">
                  <c:v>229.11725611680652</c:v>
                </c:pt>
                <c:pt idx="16">
                  <c:v>231.05840652459364</c:v>
                </c:pt>
                <c:pt idx="17">
                  <c:v>232.99955693238073</c:v>
                </c:pt>
                <c:pt idx="18">
                  <c:v>234.94070734016782</c:v>
                </c:pt>
                <c:pt idx="19">
                  <c:v>236.88185774795494</c:v>
                </c:pt>
                <c:pt idx="20">
                  <c:v>238.82300815574203</c:v>
                </c:pt>
                <c:pt idx="21">
                  <c:v>240.76415856352912</c:v>
                </c:pt>
                <c:pt idx="22">
                  <c:v>242.70530897131624</c:v>
                </c:pt>
                <c:pt idx="23">
                  <c:v>244.64645937910333</c:v>
                </c:pt>
                <c:pt idx="24">
                  <c:v>246.58760978689043</c:v>
                </c:pt>
                <c:pt idx="25">
                  <c:v>248.52876019467755</c:v>
                </c:pt>
                <c:pt idx="26">
                  <c:v>252.59984526235675</c:v>
                </c:pt>
                <c:pt idx="27">
                  <c:v>256.67093033003596</c:v>
                </c:pt>
                <c:pt idx="28">
                  <c:v>260.74201539771514</c:v>
                </c:pt>
                <c:pt idx="29">
                  <c:v>264.81310046539437</c:v>
                </c:pt>
                <c:pt idx="30">
                  <c:v>268.88418553307355</c:v>
                </c:pt>
                <c:pt idx="31">
                  <c:v>272.95527060075273</c:v>
                </c:pt>
                <c:pt idx="32">
                  <c:v>277.02635566843196</c:v>
                </c:pt>
                <c:pt idx="33">
                  <c:v>281.09744073611114</c:v>
                </c:pt>
                <c:pt idx="34">
                  <c:v>285.16852580379037</c:v>
                </c:pt>
                <c:pt idx="35">
                  <c:v>289.23961087146955</c:v>
                </c:pt>
                <c:pt idx="36">
                  <c:v>293.31069593914879</c:v>
                </c:pt>
                <c:pt idx="37">
                  <c:v>297.38178100682796</c:v>
                </c:pt>
                <c:pt idx="38">
                  <c:v>301.45286607450714</c:v>
                </c:pt>
                <c:pt idx="39">
                  <c:v>305.52395114218638</c:v>
                </c:pt>
                <c:pt idx="40">
                  <c:v>309.59503620986555</c:v>
                </c:pt>
                <c:pt idx="41">
                  <c:v>313.66612127754479</c:v>
                </c:pt>
                <c:pt idx="42">
                  <c:v>317.73720634522397</c:v>
                </c:pt>
                <c:pt idx="43">
                  <c:v>321.80829141290315</c:v>
                </c:pt>
                <c:pt idx="44">
                  <c:v>325.87937648058238</c:v>
                </c:pt>
                <c:pt idx="45">
                  <c:v>329.95046154826156</c:v>
                </c:pt>
                <c:pt idx="46">
                  <c:v>334.02154661594079</c:v>
                </c:pt>
                <c:pt idx="47">
                  <c:v>338.09263168361997</c:v>
                </c:pt>
                <c:pt idx="48">
                  <c:v>342.16371675129915</c:v>
                </c:pt>
                <c:pt idx="49">
                  <c:v>346.23480181897838</c:v>
                </c:pt>
                <c:pt idx="50">
                  <c:v>350.31588688665755</c:v>
                </c:pt>
              </c:numCache>
            </c:numRef>
          </c:xVal>
          <c:yVal>
            <c:numRef>
              <c:f>'Drained (Poisson)'!$G$2:$G$52</c:f>
              <c:numCache>
                <c:formatCode>0.00000</c:formatCode>
                <c:ptCount val="51"/>
                <c:pt idx="0">
                  <c:v>0</c:v>
                </c:pt>
                <c:pt idx="1">
                  <c:v>3.3621711314202871</c:v>
                </c:pt>
                <c:pt idx="2">
                  <c:v>6.724342262840624</c:v>
                </c:pt>
                <c:pt idx="3">
                  <c:v>10.08651339426091</c:v>
                </c:pt>
                <c:pt idx="4">
                  <c:v>13.448684525681198</c:v>
                </c:pt>
                <c:pt idx="5">
                  <c:v>16.810855657101534</c:v>
                </c:pt>
                <c:pt idx="6">
                  <c:v>20.17302678852182</c:v>
                </c:pt>
                <c:pt idx="7">
                  <c:v>23.53519791994216</c:v>
                </c:pt>
                <c:pt idx="8">
                  <c:v>26.897369051362446</c:v>
                </c:pt>
                <c:pt idx="9">
                  <c:v>30.259540182782732</c:v>
                </c:pt>
                <c:pt idx="10">
                  <c:v>33.621711314203068</c:v>
                </c:pt>
                <c:pt idx="11">
                  <c:v>36.983882445623358</c:v>
                </c:pt>
                <c:pt idx="12">
                  <c:v>40.346053577043641</c:v>
                </c:pt>
                <c:pt idx="13">
                  <c:v>43.70822470846398</c:v>
                </c:pt>
                <c:pt idx="14">
                  <c:v>47.07039583988427</c:v>
                </c:pt>
                <c:pt idx="15">
                  <c:v>50.432566971304553</c:v>
                </c:pt>
                <c:pt idx="16">
                  <c:v>53.794738102724892</c:v>
                </c:pt>
                <c:pt idx="17">
                  <c:v>57.156909234145182</c:v>
                </c:pt>
                <c:pt idx="18">
                  <c:v>60.519080365565465</c:v>
                </c:pt>
                <c:pt idx="19">
                  <c:v>63.881251496985804</c:v>
                </c:pt>
                <c:pt idx="20">
                  <c:v>67.243422628406094</c:v>
                </c:pt>
                <c:pt idx="21">
                  <c:v>70.605593759826377</c:v>
                </c:pt>
                <c:pt idx="22">
                  <c:v>73.967764891246716</c:v>
                </c:pt>
                <c:pt idx="23">
                  <c:v>77.329936022666999</c:v>
                </c:pt>
                <c:pt idx="24">
                  <c:v>80.692107154087282</c:v>
                </c:pt>
                <c:pt idx="25">
                  <c:v>84.054278285507621</c:v>
                </c:pt>
                <c:pt idx="26">
                  <c:v>91.105604464662989</c:v>
                </c:pt>
                <c:pt idx="27">
                  <c:v>98.156930643818356</c:v>
                </c:pt>
                <c:pt idx="28">
                  <c:v>105.20825682297368</c:v>
                </c:pt>
                <c:pt idx="29">
                  <c:v>112.25958300212909</c:v>
                </c:pt>
                <c:pt idx="30">
                  <c:v>119.3109091812844</c:v>
                </c:pt>
                <c:pt idx="31">
                  <c:v>126.36223536043973</c:v>
                </c:pt>
                <c:pt idx="32">
                  <c:v>133.41356153959515</c:v>
                </c:pt>
                <c:pt idx="33">
                  <c:v>140.46488771875045</c:v>
                </c:pt>
                <c:pt idx="34">
                  <c:v>147.51621389790589</c:v>
                </c:pt>
                <c:pt idx="35">
                  <c:v>154.56754007706118</c:v>
                </c:pt>
                <c:pt idx="36">
                  <c:v>161.61886625621659</c:v>
                </c:pt>
                <c:pt idx="37">
                  <c:v>168.67019243537192</c:v>
                </c:pt>
                <c:pt idx="38">
                  <c:v>175.72151861452724</c:v>
                </c:pt>
                <c:pt idx="39">
                  <c:v>182.77284479368265</c:v>
                </c:pt>
                <c:pt idx="40">
                  <c:v>189.82417097283798</c:v>
                </c:pt>
                <c:pt idx="41">
                  <c:v>196.87549715199339</c:v>
                </c:pt>
                <c:pt idx="42">
                  <c:v>203.92682333114871</c:v>
                </c:pt>
                <c:pt idx="43">
                  <c:v>210.97814951030404</c:v>
                </c:pt>
                <c:pt idx="44">
                  <c:v>218.02947568945945</c:v>
                </c:pt>
                <c:pt idx="45">
                  <c:v>225.08080186861474</c:v>
                </c:pt>
                <c:pt idx="46">
                  <c:v>232.13212804777018</c:v>
                </c:pt>
                <c:pt idx="47">
                  <c:v>239.18345422692548</c:v>
                </c:pt>
                <c:pt idx="48">
                  <c:v>246.2347804060808</c:v>
                </c:pt>
                <c:pt idx="49">
                  <c:v>253.28610658523621</c:v>
                </c:pt>
                <c:pt idx="50">
                  <c:v>260.35475327246724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F9-4F81-B2A9-AFFD66ACE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150927"/>
        <c:axId val="1"/>
      </c:scatterChart>
      <c:valAx>
        <c:axId val="993150927"/>
        <c:scaling>
          <c:orientation val="minMax"/>
        </c:scaling>
        <c:delete val="0"/>
        <c:axPos val="b"/>
        <c:majorGridlines/>
        <c:numFmt formatCode="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9931509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Constant Poisson's Ratio</c:v>
          </c:tx>
          <c:marker>
            <c:symbol val="none"/>
          </c:marker>
          <c:xVal>
            <c:numRef>
              <c:f>'Drained (Poisson)'!$I$2:$I$52</c:f>
              <c:numCache>
                <c:formatCode>0.00000</c:formatCode>
                <c:ptCount val="51"/>
                <c:pt idx="0">
                  <c:v>0</c:v>
                </c:pt>
                <c:pt idx="1">
                  <c:v>1.5851316946310344E-3</c:v>
                </c:pt>
                <c:pt idx="2">
                  <c:v>3.1550990305408326E-3</c:v>
                </c:pt>
                <c:pt idx="3">
                  <c:v>4.7101894039216132E-3</c:v>
                </c:pt>
                <c:pt idx="4">
                  <c:v>6.250682117465118E-3</c:v>
                </c:pt>
                <c:pt idx="5">
                  <c:v>7.7768486814383348E-3</c:v>
                </c:pt>
                <c:pt idx="6">
                  <c:v>9.2889531008882014E-3</c:v>
                </c:pt>
                <c:pt idx="7">
                  <c:v>1.0787252149735523E-2</c:v>
                </c:pt>
                <c:pt idx="8">
                  <c:v>1.2271995632468974E-2</c:v>
                </c:pt>
                <c:pt idx="9">
                  <c:v>1.3743426634107327E-2</c:v>
                </c:pt>
                <c:pt idx="10">
                  <c:v>1.5201781759054404E-2</c:v>
                </c:pt>
                <c:pt idx="11">
                  <c:v>1.6647291359434806E-2</c:v>
                </c:pt>
                <c:pt idx="12">
                  <c:v>1.8080179753460629E-2</c:v>
                </c:pt>
                <c:pt idx="13">
                  <c:v>1.9500665434347565E-2</c:v>
                </c:pt>
                <c:pt idx="14">
                  <c:v>2.0908961270266365E-2</c:v>
                </c:pt>
                <c:pt idx="15">
                  <c:v>2.2305274695788444E-2</c:v>
                </c:pt>
                <c:pt idx="16">
                  <c:v>2.3689807895254707E-2</c:v>
                </c:pt>
                <c:pt idx="17">
                  <c:v>2.506275797847397E-2</c:v>
                </c:pt>
                <c:pt idx="18">
                  <c:v>2.6424317149133191E-2</c:v>
                </c:pt>
                <c:pt idx="19">
                  <c:v>2.7774672866278129E-2</c:v>
                </c:pt>
                <c:pt idx="20">
                  <c:v>2.9114007999204793E-2</c:v>
                </c:pt>
                <c:pt idx="21">
                  <c:v>3.0442500976081213E-2</c:v>
                </c:pt>
                <c:pt idx="22">
                  <c:v>3.1760325926602016E-2</c:v>
                </c:pt>
                <c:pt idx="23">
                  <c:v>3.3067652818960597E-2</c:v>
                </c:pt>
                <c:pt idx="24">
                  <c:v>3.4364647591408497E-2</c:v>
                </c:pt>
                <c:pt idx="25">
                  <c:v>3.5651472278657094E-2</c:v>
                </c:pt>
                <c:pt idx="26">
                  <c:v>4.9275915593615743E-2</c:v>
                </c:pt>
                <c:pt idx="27">
                  <c:v>6.3960648159492567E-2</c:v>
                </c:pt>
                <c:pt idx="28">
                  <c:v>7.9745876097266688E-2</c:v>
                </c:pt>
                <c:pt idx="29">
                  <c:v>9.6680642398132829E-2</c:v>
                </c:pt>
                <c:pt idx="30">
                  <c:v>0.11482486395793207</c:v>
                </c:pt>
                <c:pt idx="31">
                  <c:v>0.13425169899726636</c:v>
                </c:pt>
                <c:pt idx="32">
                  <c:v>0.15505040987098848</c:v>
                </c:pt>
                <c:pt idx="33">
                  <c:v>0.17732993824729806</c:v>
                </c:pt>
                <c:pt idx="34">
                  <c:v>0.20122348983418342</c:v>
                </c:pt>
                <c:pt idx="35">
                  <c:v>0.22689455021156615</c:v>
                </c:pt>
                <c:pt idx="36">
                  <c:v>0.25454494890975321</c:v>
                </c:pt>
                <c:pt idx="37">
                  <c:v>0.28442590281353791</c:v>
                </c:pt>
                <c:pt idx="38">
                  <c:v>0.31685348737649072</c:v>
                </c:pt>
                <c:pt idx="39">
                  <c:v>0.35223086456844338</c:v>
                </c:pt>
                <c:pt idx="40">
                  <c:v>0.39108115246062092</c:v>
                </c:pt>
                <c:pt idx="41">
                  <c:v>0.43409769672359816</c:v>
                </c:pt>
                <c:pt idx="42">
                  <c:v>0.48222410687445361</c:v>
                </c:pt>
                <c:pt idx="43">
                  <c:v>0.53678805446692357</c:v>
                </c:pt>
                <c:pt idx="44">
                  <c:v>0.59973895303846214</c:v>
                </c:pt>
                <c:pt idx="45">
                  <c:v>0.67410435320809459</c:v>
                </c:pt>
                <c:pt idx="46">
                  <c:v>0.76496216745180012</c:v>
                </c:pt>
                <c:pt idx="47">
                  <c:v>0.88183863045327282</c:v>
                </c:pt>
                <c:pt idx="48">
                  <c:v>1.0461293486901744</c:v>
                </c:pt>
                <c:pt idx="49">
                  <c:v>1.3261200434778746</c:v>
                </c:pt>
                <c:pt idx="50">
                  <c:v>3.7429299644508016</c:v>
                </c:pt>
              </c:numCache>
            </c:numRef>
          </c:xVal>
          <c:yVal>
            <c:numRef>
              <c:f>'Drained (Poisson)'!$J$2:$J$52</c:f>
              <c:numCache>
                <c:formatCode>0.0000</c:formatCode>
                <c:ptCount val="51"/>
                <c:pt idx="0">
                  <c:v>0</c:v>
                </c:pt>
                <c:pt idx="1">
                  <c:v>5.4910572635774124E-4</c:v>
                </c:pt>
                <c:pt idx="2">
                  <c:v>1.0929583647616063E-3</c:v>
                </c:pt>
                <c:pt idx="3">
                  <c:v>1.6316574721729597E-3</c:v>
                </c:pt>
                <c:pt idx="4">
                  <c:v>2.1652998018823594E-3</c:v>
                </c:pt>
                <c:pt idx="5">
                  <c:v>2.6939794078052453E-3</c:v>
                </c:pt>
                <c:pt idx="6">
                  <c:v>3.2177877439725677E-3</c:v>
                </c:pt>
                <c:pt idx="7">
                  <c:v>3.7368137594797042E-3</c:v>
                </c:pt>
                <c:pt idx="8">
                  <c:v>4.2511439891399242E-3</c:v>
                </c:pt>
                <c:pt idx="9">
                  <c:v>4.760862640073831E-3</c:v>
                </c:pt>
                <c:pt idx="10">
                  <c:v>5.2660516744512022E-3</c:v>
                </c:pt>
                <c:pt idx="11">
                  <c:v>5.7667908885886895E-3</c:v>
                </c:pt>
                <c:pt idx="12">
                  <c:v>6.2631579885943887E-3</c:v>
                </c:pt>
                <c:pt idx="13">
                  <c:v>6.7552286627384278E-3</c:v>
                </c:pt>
                <c:pt idx="14">
                  <c:v>7.2430766507182581E-3</c:v>
                </c:pt>
                <c:pt idx="15">
                  <c:v>7.7267738099772157E-3</c:v>
                </c:pt>
                <c:pt idx="16">
                  <c:v>8.2063901792254861E-3</c:v>
                </c:pt>
                <c:pt idx="17">
                  <c:v>8.6819940393038329E-3</c:v>
                </c:pt>
                <c:pt idx="18">
                  <c:v>9.153651971522455E-3</c:v>
                </c:pt>
                <c:pt idx="19">
                  <c:v>9.6214289135996937E-3</c:v>
                </c:pt>
                <c:pt idx="20">
                  <c:v>1.0085388213317883E-2</c:v>
                </c:pt>
                <c:pt idx="21">
                  <c:v>1.0545591680007561E-2</c:v>
                </c:pt>
                <c:pt idx="22">
                  <c:v>1.1002099633964367E-2</c:v>
                </c:pt>
                <c:pt idx="23">
                  <c:v>1.1454970953897593E-2</c:v>
                </c:pt>
                <c:pt idx="24">
                  <c:v>1.1904263122503794E-2</c:v>
                </c:pt>
                <c:pt idx="25">
                  <c:v>1.2350032270253492E-2</c:v>
                </c:pt>
                <c:pt idx="26">
                  <c:v>2.0014452757572063E-2</c:v>
                </c:pt>
                <c:pt idx="27">
                  <c:v>2.76427555471551E-2</c:v>
                </c:pt>
                <c:pt idx="28">
                  <c:v>3.5217374804890747E-2</c:v>
                </c:pt>
                <c:pt idx="29">
                  <c:v>4.2723905389171209E-2</c:v>
                </c:pt>
                <c:pt idx="30">
                  <c:v>5.0150667307904281E-2</c:v>
                </c:pt>
                <c:pt idx="31">
                  <c:v>5.7488316862921919E-2</c:v>
                </c:pt>
                <c:pt idx="32">
                  <c:v>6.472950319609086E-2</c:v>
                </c:pt>
                <c:pt idx="33">
                  <c:v>7.1868567540386341E-2</c:v>
                </c:pt>
                <c:pt idx="34">
                  <c:v>7.8901281696406311E-2</c:v>
                </c:pt>
                <c:pt idx="35">
                  <c:v>8.5824621909812993E-2</c:v>
                </c:pt>
                <c:pt idx="36">
                  <c:v>9.2636574273393835E-2</c:v>
                </c:pt>
                <c:pt idx="37">
                  <c:v>9.9335967912390494E-2</c:v>
                </c:pt>
                <c:pt idx="38">
                  <c:v>0.10592233245740468</c:v>
                </c:pt>
                <c:pt idx="39">
                  <c:v>0.11239577661259964</c:v>
                </c:pt>
                <c:pt idx="40">
                  <c:v>0.11875688495252697</c:v>
                </c:pt>
                <c:pt idx="41">
                  <c:v>0.1250066304056493</c:v>
                </c:pt>
                <c:pt idx="42">
                  <c:v>0.13114630019232776</c:v>
                </c:pt>
                <c:pt idx="43">
                  <c:v>0.13717743327176854</c:v>
                </c:pt>
                <c:pt idx="44">
                  <c:v>0.14310176761229143</c:v>
                </c:pt>
                <c:pt idx="45">
                  <c:v>0.14892119583125416</c:v>
                </c:pt>
                <c:pt idx="46">
                  <c:v>0.15463772795561032</c:v>
                </c:pt>
                <c:pt idx="47">
                  <c:v>0.16025346023302992</c:v>
                </c:pt>
                <c:pt idx="48">
                  <c:v>0.16577054907893524</c:v>
                </c:pt>
                <c:pt idx="49">
                  <c:v>0.17119118937903993</c:v>
                </c:pt>
                <c:pt idx="50">
                  <c:v>0.1765305657963121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68-410C-835C-6FB6DC955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427423"/>
        <c:axId val="1"/>
      </c:scatterChart>
      <c:valAx>
        <c:axId val="1065427423"/>
        <c:scaling>
          <c:orientation val="minMax"/>
        </c:scaling>
        <c:delete val="0"/>
        <c:axPos val="b"/>
        <c:majorGridlines/>
        <c:numFmt formatCode="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0654274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Constant Poisson's Ratio</c:v>
          </c:tx>
          <c:marker>
            <c:symbol val="none"/>
          </c:marker>
          <c:xVal>
            <c:numRef>
              <c:f>'Drained (Poisson)'!$L$2:$L$52</c:f>
              <c:numCache>
                <c:formatCode>0.00000</c:formatCode>
                <c:ptCount val="51"/>
                <c:pt idx="0">
                  <c:v>0</c:v>
                </c:pt>
                <c:pt idx="1">
                  <c:v>1.5851316946310344E-3</c:v>
                </c:pt>
                <c:pt idx="2">
                  <c:v>3.1550990305408326E-3</c:v>
                </c:pt>
                <c:pt idx="3">
                  <c:v>4.7101894039216132E-3</c:v>
                </c:pt>
                <c:pt idx="4">
                  <c:v>6.250682117465118E-3</c:v>
                </c:pt>
                <c:pt idx="5">
                  <c:v>7.7768486814383348E-3</c:v>
                </c:pt>
                <c:pt idx="6">
                  <c:v>9.2889531008882014E-3</c:v>
                </c:pt>
                <c:pt idx="7">
                  <c:v>1.0787252149735523E-2</c:v>
                </c:pt>
                <c:pt idx="8">
                  <c:v>1.2271995632468974E-2</c:v>
                </c:pt>
                <c:pt idx="9">
                  <c:v>1.3743426634107327E-2</c:v>
                </c:pt>
                <c:pt idx="10">
                  <c:v>1.5201781759054404E-2</c:v>
                </c:pt>
                <c:pt idx="11">
                  <c:v>1.6647291359434806E-2</c:v>
                </c:pt>
                <c:pt idx="12">
                  <c:v>1.8080179753460629E-2</c:v>
                </c:pt>
                <c:pt idx="13">
                  <c:v>1.9500665434347565E-2</c:v>
                </c:pt>
                <c:pt idx="14">
                  <c:v>2.0908961270266365E-2</c:v>
                </c:pt>
                <c:pt idx="15">
                  <c:v>2.2305274695788444E-2</c:v>
                </c:pt>
                <c:pt idx="16">
                  <c:v>2.3689807895254707E-2</c:v>
                </c:pt>
                <c:pt idx="17">
                  <c:v>2.506275797847397E-2</c:v>
                </c:pt>
                <c:pt idx="18">
                  <c:v>2.6424317149133191E-2</c:v>
                </c:pt>
                <c:pt idx="19">
                  <c:v>2.7774672866278129E-2</c:v>
                </c:pt>
                <c:pt idx="20">
                  <c:v>2.9114007999204793E-2</c:v>
                </c:pt>
                <c:pt idx="21">
                  <c:v>3.0442500976081213E-2</c:v>
                </c:pt>
                <c:pt idx="22">
                  <c:v>3.1760325926602016E-2</c:v>
                </c:pt>
                <c:pt idx="23">
                  <c:v>3.3067652818960597E-2</c:v>
                </c:pt>
                <c:pt idx="24">
                  <c:v>3.4364647591408497E-2</c:v>
                </c:pt>
                <c:pt idx="25">
                  <c:v>3.5651472278657094E-2</c:v>
                </c:pt>
                <c:pt idx="26">
                  <c:v>4.9275915593615743E-2</c:v>
                </c:pt>
                <c:pt idx="27">
                  <c:v>6.3960648159492567E-2</c:v>
                </c:pt>
                <c:pt idx="28">
                  <c:v>7.9745876097266688E-2</c:v>
                </c:pt>
                <c:pt idx="29">
                  <c:v>9.6680642398132829E-2</c:v>
                </c:pt>
                <c:pt idx="30">
                  <c:v>0.11482486395793207</c:v>
                </c:pt>
                <c:pt idx="31">
                  <c:v>0.13425169899726636</c:v>
                </c:pt>
                <c:pt idx="32">
                  <c:v>0.15505040987098848</c:v>
                </c:pt>
                <c:pt idx="33">
                  <c:v>0.17732993824729806</c:v>
                </c:pt>
                <c:pt idx="34">
                  <c:v>0.20122348983418342</c:v>
                </c:pt>
                <c:pt idx="35">
                  <c:v>0.22689455021156615</c:v>
                </c:pt>
                <c:pt idx="36">
                  <c:v>0.25454494890975321</c:v>
                </c:pt>
                <c:pt idx="37">
                  <c:v>0.28442590281353791</c:v>
                </c:pt>
                <c:pt idx="38">
                  <c:v>0.31685348737649072</c:v>
                </c:pt>
                <c:pt idx="39">
                  <c:v>0.35223086456844338</c:v>
                </c:pt>
                <c:pt idx="40">
                  <c:v>0.39108115246062092</c:v>
                </c:pt>
                <c:pt idx="41">
                  <c:v>0.43409769672359816</c:v>
                </c:pt>
                <c:pt idx="42">
                  <c:v>0.48222410687445361</c:v>
                </c:pt>
                <c:pt idx="43">
                  <c:v>0.53678805446692357</c:v>
                </c:pt>
                <c:pt idx="44">
                  <c:v>0.59973895303846214</c:v>
                </c:pt>
                <c:pt idx="45">
                  <c:v>0.67410435320809459</c:v>
                </c:pt>
                <c:pt idx="46">
                  <c:v>0.76496216745180012</c:v>
                </c:pt>
                <c:pt idx="47">
                  <c:v>0.88183863045327282</c:v>
                </c:pt>
                <c:pt idx="48">
                  <c:v>1.0461293486901744</c:v>
                </c:pt>
                <c:pt idx="49">
                  <c:v>1.3261200434778746</c:v>
                </c:pt>
                <c:pt idx="50">
                  <c:v>3.7429299644508016</c:v>
                </c:pt>
              </c:numCache>
            </c:numRef>
          </c:xVal>
          <c:yVal>
            <c:numRef>
              <c:f>'Drained (Poisson)'!$M$2:$M$52</c:f>
              <c:numCache>
                <c:formatCode>0.00000</c:formatCode>
                <c:ptCount val="51"/>
                <c:pt idx="0">
                  <c:v>0</c:v>
                </c:pt>
                <c:pt idx="1">
                  <c:v>3.3621711314202871</c:v>
                </c:pt>
                <c:pt idx="2">
                  <c:v>6.724342262840624</c:v>
                </c:pt>
                <c:pt idx="3">
                  <c:v>10.08651339426091</c:v>
                </c:pt>
                <c:pt idx="4">
                  <c:v>13.448684525681198</c:v>
                </c:pt>
                <c:pt idx="5">
                  <c:v>16.810855657101534</c:v>
                </c:pt>
                <c:pt idx="6">
                  <c:v>20.17302678852182</c:v>
                </c:pt>
                <c:pt idx="7">
                  <c:v>23.53519791994216</c:v>
                </c:pt>
                <c:pt idx="8">
                  <c:v>26.897369051362446</c:v>
                </c:pt>
                <c:pt idx="9">
                  <c:v>30.259540182782732</c:v>
                </c:pt>
                <c:pt idx="10">
                  <c:v>33.621711314203068</c:v>
                </c:pt>
                <c:pt idx="11">
                  <c:v>36.983882445623358</c:v>
                </c:pt>
                <c:pt idx="12">
                  <c:v>40.346053577043641</c:v>
                </c:pt>
                <c:pt idx="13">
                  <c:v>43.70822470846398</c:v>
                </c:pt>
                <c:pt idx="14">
                  <c:v>47.07039583988427</c:v>
                </c:pt>
                <c:pt idx="15">
                  <c:v>50.432566971304553</c:v>
                </c:pt>
                <c:pt idx="16">
                  <c:v>53.794738102724892</c:v>
                </c:pt>
                <c:pt idx="17">
                  <c:v>57.156909234145182</c:v>
                </c:pt>
                <c:pt idx="18">
                  <c:v>60.519080365565465</c:v>
                </c:pt>
                <c:pt idx="19">
                  <c:v>63.881251496985804</c:v>
                </c:pt>
                <c:pt idx="20">
                  <c:v>67.243422628406094</c:v>
                </c:pt>
                <c:pt idx="21">
                  <c:v>70.605593759826377</c:v>
                </c:pt>
                <c:pt idx="22">
                  <c:v>73.967764891246716</c:v>
                </c:pt>
                <c:pt idx="23">
                  <c:v>77.329936022666999</c:v>
                </c:pt>
                <c:pt idx="24">
                  <c:v>80.692107154087282</c:v>
                </c:pt>
                <c:pt idx="25">
                  <c:v>84.054278285507621</c:v>
                </c:pt>
                <c:pt idx="26">
                  <c:v>91.105604464662989</c:v>
                </c:pt>
                <c:pt idx="27">
                  <c:v>98.156930643818356</c:v>
                </c:pt>
                <c:pt idx="28">
                  <c:v>105.20825682297368</c:v>
                </c:pt>
                <c:pt idx="29">
                  <c:v>112.25958300212909</c:v>
                </c:pt>
                <c:pt idx="30">
                  <c:v>119.3109091812844</c:v>
                </c:pt>
                <c:pt idx="31">
                  <c:v>126.36223536043973</c:v>
                </c:pt>
                <c:pt idx="32">
                  <c:v>133.41356153959515</c:v>
                </c:pt>
                <c:pt idx="33">
                  <c:v>140.46488771875045</c:v>
                </c:pt>
                <c:pt idx="34">
                  <c:v>147.51621389790589</c:v>
                </c:pt>
                <c:pt idx="35">
                  <c:v>154.56754007706118</c:v>
                </c:pt>
                <c:pt idx="36">
                  <c:v>161.61886625621659</c:v>
                </c:pt>
                <c:pt idx="37">
                  <c:v>168.67019243537192</c:v>
                </c:pt>
                <c:pt idx="38">
                  <c:v>175.72151861452724</c:v>
                </c:pt>
                <c:pt idx="39">
                  <c:v>182.77284479368265</c:v>
                </c:pt>
                <c:pt idx="40">
                  <c:v>189.82417097283798</c:v>
                </c:pt>
                <c:pt idx="41">
                  <c:v>196.87549715199339</c:v>
                </c:pt>
                <c:pt idx="42">
                  <c:v>203.92682333114871</c:v>
                </c:pt>
                <c:pt idx="43">
                  <c:v>210.97814951030404</c:v>
                </c:pt>
                <c:pt idx="44">
                  <c:v>218.02947568945945</c:v>
                </c:pt>
                <c:pt idx="45">
                  <c:v>225.08080186861474</c:v>
                </c:pt>
                <c:pt idx="46">
                  <c:v>232.13212804777018</c:v>
                </c:pt>
                <c:pt idx="47">
                  <c:v>239.18345422692548</c:v>
                </c:pt>
                <c:pt idx="48">
                  <c:v>246.2347804060808</c:v>
                </c:pt>
                <c:pt idx="49">
                  <c:v>253.28610658523621</c:v>
                </c:pt>
                <c:pt idx="50">
                  <c:v>260.35475327246724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59-423A-9358-5D92538B3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426943"/>
        <c:axId val="1"/>
      </c:scatterChart>
      <c:valAx>
        <c:axId val="1065426943"/>
        <c:scaling>
          <c:orientation val="minMax"/>
        </c:scaling>
        <c:delete val="0"/>
        <c:axPos val="b"/>
        <c:majorGridlines/>
        <c:numFmt formatCode="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0654269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Constant Poisson's ratio</c:v>
          </c:tx>
          <c:marker>
            <c:symbol val="none"/>
          </c:marker>
          <c:xVal>
            <c:numRef>
              <c:f>'Undrained (Poisson)'!$F$2:$F$32</c:f>
              <c:numCache>
                <c:formatCode>0.00000</c:formatCode>
                <c:ptCount val="31"/>
                <c:pt idx="0">
                  <c:v>166</c:v>
                </c:pt>
                <c:pt idx="1">
                  <c:v>166</c:v>
                </c:pt>
                <c:pt idx="2">
                  <c:v>166</c:v>
                </c:pt>
                <c:pt idx="3">
                  <c:v>166</c:v>
                </c:pt>
                <c:pt idx="4">
                  <c:v>166</c:v>
                </c:pt>
                <c:pt idx="5">
                  <c:v>166</c:v>
                </c:pt>
                <c:pt idx="6">
                  <c:v>166</c:v>
                </c:pt>
                <c:pt idx="7">
                  <c:v>166</c:v>
                </c:pt>
                <c:pt idx="8">
                  <c:v>166</c:v>
                </c:pt>
                <c:pt idx="9">
                  <c:v>166</c:v>
                </c:pt>
                <c:pt idx="10">
                  <c:v>166</c:v>
                </c:pt>
                <c:pt idx="11">
                  <c:v>165.39246396759341</c:v>
                </c:pt>
                <c:pt idx="12">
                  <c:v>164.78492793518686</c:v>
                </c:pt>
                <c:pt idx="13">
                  <c:v>164.17739190278027</c:v>
                </c:pt>
                <c:pt idx="14">
                  <c:v>163.56985587037369</c:v>
                </c:pt>
                <c:pt idx="15">
                  <c:v>162.96231983796713</c:v>
                </c:pt>
                <c:pt idx="16">
                  <c:v>162.35478380556054</c:v>
                </c:pt>
                <c:pt idx="17">
                  <c:v>161.74724777315396</c:v>
                </c:pt>
                <c:pt idx="18">
                  <c:v>161.13971174074737</c:v>
                </c:pt>
                <c:pt idx="19">
                  <c:v>160.53217570834082</c:v>
                </c:pt>
                <c:pt idx="20">
                  <c:v>159.92463967593423</c:v>
                </c:pt>
                <c:pt idx="21">
                  <c:v>158.82002870792229</c:v>
                </c:pt>
                <c:pt idx="22">
                  <c:v>157.82587883671152</c:v>
                </c:pt>
                <c:pt idx="23">
                  <c:v>156.94219006230196</c:v>
                </c:pt>
                <c:pt idx="24">
                  <c:v>156.1689623846936</c:v>
                </c:pt>
                <c:pt idx="25">
                  <c:v>155.50619580388641</c:v>
                </c:pt>
                <c:pt idx="26">
                  <c:v>154.95389031988043</c:v>
                </c:pt>
                <c:pt idx="27">
                  <c:v>154.51204593267565</c:v>
                </c:pt>
                <c:pt idx="28">
                  <c:v>154.18066264227207</c:v>
                </c:pt>
                <c:pt idx="29">
                  <c:v>153.95974044866966</c:v>
                </c:pt>
                <c:pt idx="30">
                  <c:v>153.84927935186846</c:v>
                </c:pt>
              </c:numCache>
            </c:numRef>
          </c:xVal>
          <c:yVal>
            <c:numRef>
              <c:f>'Undrained (Poisson)'!$G$2:$G$32</c:f>
              <c:numCache>
                <c:formatCode>0.00000</c:formatCode>
                <c:ptCount val="31"/>
                <c:pt idx="0">
                  <c:v>0</c:v>
                </c:pt>
                <c:pt idx="1">
                  <c:v>11.083977241544572</c:v>
                </c:pt>
                <c:pt idx="2">
                  <c:v>22.167954483089144</c:v>
                </c:pt>
                <c:pt idx="3">
                  <c:v>33.251931724633714</c:v>
                </c:pt>
                <c:pt idx="4">
                  <c:v>44.335908966178287</c:v>
                </c:pt>
                <c:pt idx="5">
                  <c:v>55.419886207722861</c:v>
                </c:pt>
                <c:pt idx="6">
                  <c:v>66.503863449267428</c:v>
                </c:pt>
                <c:pt idx="7">
                  <c:v>77.587840690812001</c:v>
                </c:pt>
                <c:pt idx="8">
                  <c:v>88.671817932356575</c:v>
                </c:pt>
                <c:pt idx="9">
                  <c:v>99.755795173901149</c:v>
                </c:pt>
                <c:pt idx="10">
                  <c:v>110.83977241544572</c:v>
                </c:pt>
                <c:pt idx="11">
                  <c:v>111.03829156932562</c:v>
                </c:pt>
                <c:pt idx="12">
                  <c:v>111.23425397762902</c:v>
                </c:pt>
                <c:pt idx="13">
                  <c:v>111.42767131374859</c:v>
                </c:pt>
                <c:pt idx="14">
                  <c:v>111.6185549798745</c:v>
                </c:pt>
                <c:pt idx="15">
                  <c:v>111.8069161117359</c:v>
                </c:pt>
                <c:pt idx="16">
                  <c:v>111.99276558318942</c:v>
                </c:pt>
                <c:pt idx="17">
                  <c:v>112.17611401065834</c:v>
                </c:pt>
                <c:pt idx="18">
                  <c:v>112.35697175742774</c:v>
                </c:pt>
                <c:pt idx="19">
                  <c:v>112.53534893780008</c:v>
                </c:pt>
                <c:pt idx="20">
                  <c:v>112.71125542111487</c:v>
                </c:pt>
                <c:pt idx="21">
                  <c:v>113.02478674233112</c:v>
                </c:pt>
                <c:pt idx="22">
                  <c:v>113.30005495571456</c:v>
                </c:pt>
                <c:pt idx="23">
                  <c:v>113.53927496114817</c:v>
                </c:pt>
                <c:pt idx="24">
                  <c:v>113.74439645380224</c:v>
                </c:pt>
                <c:pt idx="25">
                  <c:v>113.91711140324013</c:v>
                </c:pt>
                <c:pt idx="26">
                  <c:v>114.05886012539219</c:v>
                </c:pt>
                <c:pt idx="27">
                  <c:v>114.17083614789692</c:v>
                </c:pt>
                <c:pt idx="28">
                  <c:v>114.25399003195409</c:v>
                </c:pt>
                <c:pt idx="29">
                  <c:v>114.30903228096585</c:v>
                </c:pt>
                <c:pt idx="30">
                  <c:v>114.33643543671393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B-4CB1-8453-93E5BF24D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463887"/>
        <c:axId val="1"/>
      </c:scatterChart>
      <c:valAx>
        <c:axId val="1259463887"/>
        <c:scaling>
          <c:orientation val="minMax"/>
        </c:scaling>
        <c:delete val="0"/>
        <c:axPos val="b"/>
        <c:majorGridlines/>
        <c:numFmt formatCode="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2594638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Constant Poisson's ratio</c:v>
          </c:tx>
          <c:marker>
            <c:symbol val="none"/>
          </c:marker>
          <c:xVal>
            <c:numRef>
              <c:f>'Undrained (Poisson)'!$I$2:$I$32</c:f>
              <c:numCache>
                <c:formatCode>0.000</c:formatCode>
                <c:ptCount val="31"/>
                <c:pt idx="0">
                  <c:v>0</c:v>
                </c:pt>
                <c:pt idx="1">
                  <c:v>2.3566910988925363E-3</c:v>
                </c:pt>
                <c:pt idx="2">
                  <c:v>4.7133821977850725E-3</c:v>
                </c:pt>
                <c:pt idx="3">
                  <c:v>7.0700732966776083E-3</c:v>
                </c:pt>
                <c:pt idx="4">
                  <c:v>9.426764395570145E-3</c:v>
                </c:pt>
                <c:pt idx="5">
                  <c:v>1.1783455494462681E-2</c:v>
                </c:pt>
                <c:pt idx="6">
                  <c:v>1.4140146593355217E-2</c:v>
                </c:pt>
                <c:pt idx="7">
                  <c:v>1.6496837692247752E-2</c:v>
                </c:pt>
                <c:pt idx="8">
                  <c:v>1.885352879114029E-2</c:v>
                </c:pt>
                <c:pt idx="9">
                  <c:v>2.1210219890032828E-2</c:v>
                </c:pt>
                <c:pt idx="10">
                  <c:v>2.3566910988925362E-2</c:v>
                </c:pt>
                <c:pt idx="11">
                  <c:v>2.4858864169301186E-2</c:v>
                </c:pt>
                <c:pt idx="12">
                  <c:v>2.6224419660443903E-2</c:v>
                </c:pt>
                <c:pt idx="13">
                  <c:v>2.7672051066999524E-2</c:v>
                </c:pt>
                <c:pt idx="14">
                  <c:v>2.9211774688286327E-2</c:v>
                </c:pt>
                <c:pt idx="15">
                  <c:v>3.0855548265889911E-2</c:v>
                </c:pt>
                <c:pt idx="16">
                  <c:v>3.2617807512454772E-2</c:v>
                </c:pt>
                <c:pt idx="17">
                  <c:v>3.4516201820662076E-2</c:v>
                </c:pt>
                <c:pt idx="18">
                  <c:v>3.6572625051916448E-2</c:v>
                </c:pt>
                <c:pt idx="19">
                  <c:v>3.8814695909095254E-2</c:v>
                </c:pt>
                <c:pt idx="20">
                  <c:v>4.1277945881216409E-2</c:v>
                </c:pt>
                <c:pt idx="21">
                  <c:v>4.6486672635713572E-2</c:v>
                </c:pt>
                <c:pt idx="22">
                  <c:v>5.230947324376832E-2</c:v>
                </c:pt>
                <c:pt idx="23">
                  <c:v>5.8899028397668376E-2</c:v>
                </c:pt>
                <c:pt idx="24">
                  <c:v>6.6474725958880848E-2</c:v>
                </c:pt>
                <c:pt idx="25">
                  <c:v>7.5368795558580032E-2</c:v>
                </c:pt>
                <c:pt idx="26">
                  <c:v>8.6121262251656255E-2</c:v>
                </c:pt>
                <c:pt idx="27">
                  <c:v>9.9703940168650557E-2</c:v>
                </c:pt>
                <c:pt idx="28">
                  <c:v>0.11817302744607788</c:v>
                </c:pt>
                <c:pt idx="29">
                  <c:v>0.14748987471763084</c:v>
                </c:pt>
              </c:numCache>
            </c:numRef>
          </c:xVal>
          <c:yVal>
            <c:numRef>
              <c:f>'Undrained (Poisson)'!$J$2:$J$32</c:f>
              <c:numCache>
                <c:formatCode>0.00</c:formatCode>
                <c:ptCount val="31"/>
                <c:pt idx="0">
                  <c:v>0</c:v>
                </c:pt>
                <c:pt idx="1">
                  <c:v>6.3993372440974383</c:v>
                </c:pt>
                <c:pt idx="2">
                  <c:v>12.798674488194877</c:v>
                </c:pt>
                <c:pt idx="3">
                  <c:v>19.198011732292343</c:v>
                </c:pt>
                <c:pt idx="4">
                  <c:v>25.597348976389782</c:v>
                </c:pt>
                <c:pt idx="5">
                  <c:v>31.99668622048722</c:v>
                </c:pt>
                <c:pt idx="6">
                  <c:v>38.396023464584658</c:v>
                </c:pt>
                <c:pt idx="7">
                  <c:v>44.795360708682097</c:v>
                </c:pt>
                <c:pt idx="8">
                  <c:v>51.194697952779563</c:v>
                </c:pt>
                <c:pt idx="9">
                  <c:v>57.594035196877002</c:v>
                </c:pt>
                <c:pt idx="10">
                  <c:v>63.99337244097444</c:v>
                </c:pt>
                <c:pt idx="11">
                  <c:v>64.715523560312874</c:v>
                </c:pt>
                <c:pt idx="12">
                  <c:v>65.436198541904474</c:v>
                </c:pt>
                <c:pt idx="13">
                  <c:v>66.155404125385616</c:v>
                </c:pt>
                <c:pt idx="14">
                  <c:v>66.873146893813924</c:v>
                </c:pt>
                <c:pt idx="15">
                  <c:v>67.589433276405487</c:v>
                </c:pt>
                <c:pt idx="16">
                  <c:v>68.304269551184518</c:v>
                </c:pt>
                <c:pt idx="17">
                  <c:v>69.017661847545781</c:v>
                </c:pt>
                <c:pt idx="18">
                  <c:v>69.729616148734721</c:v>
                </c:pt>
                <c:pt idx="19">
                  <c:v>70.440138294246509</c:v>
                </c:pt>
                <c:pt idx="20">
                  <c:v>71.149233982147109</c:v>
                </c:pt>
                <c:pt idx="21">
                  <c:v>72.43486234286263</c:v>
                </c:pt>
                <c:pt idx="22">
                  <c:v>73.587938391169672</c:v>
                </c:pt>
                <c:pt idx="23">
                  <c:v>74.609740900111888</c:v>
                </c:pt>
                <c:pt idx="24">
                  <c:v>75.501395526720643</c:v>
                </c:pt>
                <c:pt idx="25">
                  <c:v>76.263879130078863</c:v>
                </c:pt>
                <c:pt idx="26">
                  <c:v>76.89802327697663</c:v>
                </c:pt>
                <c:pt idx="27">
                  <c:v>77.404517050917292</c:v>
                </c:pt>
                <c:pt idx="28">
                  <c:v>77.78390925866546</c:v>
                </c:pt>
                <c:pt idx="29">
                  <c:v>78.036610109551589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EA-4B96-A3D5-7B9360CD7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627935"/>
        <c:axId val="1"/>
      </c:scatterChart>
      <c:valAx>
        <c:axId val="489627935"/>
        <c:scaling>
          <c:orientation val="minMax"/>
        </c:scaling>
        <c:delete val="0"/>
        <c:axPos val="b"/>
        <c:majorGridlines/>
        <c:numFmt formatCode="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4896279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Constant Poisson's ratio</c:v>
          </c:tx>
          <c:marker>
            <c:symbol val="none"/>
          </c:marker>
          <c:xVal>
            <c:numRef>
              <c:f>'Undrained (Poisson)'!$L$2:$L$32</c:f>
              <c:numCache>
                <c:formatCode>0.00000</c:formatCode>
                <c:ptCount val="31"/>
                <c:pt idx="0">
                  <c:v>0</c:v>
                </c:pt>
                <c:pt idx="1">
                  <c:v>2.3566910988925363E-3</c:v>
                </c:pt>
                <c:pt idx="2">
                  <c:v>4.7133821977850725E-3</c:v>
                </c:pt>
                <c:pt idx="3">
                  <c:v>7.0700732966776083E-3</c:v>
                </c:pt>
                <c:pt idx="4">
                  <c:v>9.426764395570145E-3</c:v>
                </c:pt>
                <c:pt idx="5">
                  <c:v>1.1783455494462681E-2</c:v>
                </c:pt>
                <c:pt idx="6">
                  <c:v>1.4140146593355217E-2</c:v>
                </c:pt>
                <c:pt idx="7">
                  <c:v>1.6496837692247752E-2</c:v>
                </c:pt>
                <c:pt idx="8">
                  <c:v>1.885352879114029E-2</c:v>
                </c:pt>
                <c:pt idx="9">
                  <c:v>2.1210219890032828E-2</c:v>
                </c:pt>
                <c:pt idx="10">
                  <c:v>2.3566910988925362E-2</c:v>
                </c:pt>
                <c:pt idx="11">
                  <c:v>2.4858864169301186E-2</c:v>
                </c:pt>
                <c:pt idx="12">
                  <c:v>2.6224419660443903E-2</c:v>
                </c:pt>
                <c:pt idx="13">
                  <c:v>2.7672051066999524E-2</c:v>
                </c:pt>
                <c:pt idx="14">
                  <c:v>2.9211774688286327E-2</c:v>
                </c:pt>
                <c:pt idx="15">
                  <c:v>3.0855548265889911E-2</c:v>
                </c:pt>
                <c:pt idx="16">
                  <c:v>3.2617807512454772E-2</c:v>
                </c:pt>
                <c:pt idx="17">
                  <c:v>3.4516201820662076E-2</c:v>
                </c:pt>
                <c:pt idx="18">
                  <c:v>3.6572625051916448E-2</c:v>
                </c:pt>
                <c:pt idx="19">
                  <c:v>3.8814695909095254E-2</c:v>
                </c:pt>
                <c:pt idx="20">
                  <c:v>4.1277945881216409E-2</c:v>
                </c:pt>
                <c:pt idx="21">
                  <c:v>4.6486672635713572E-2</c:v>
                </c:pt>
                <c:pt idx="22">
                  <c:v>5.230947324376832E-2</c:v>
                </c:pt>
                <c:pt idx="23">
                  <c:v>5.8899028397668376E-2</c:v>
                </c:pt>
                <c:pt idx="24">
                  <c:v>6.6474725958880848E-2</c:v>
                </c:pt>
                <c:pt idx="25">
                  <c:v>7.5368795558580032E-2</c:v>
                </c:pt>
                <c:pt idx="26">
                  <c:v>8.6121262251656255E-2</c:v>
                </c:pt>
                <c:pt idx="27">
                  <c:v>9.9703940168650557E-2</c:v>
                </c:pt>
                <c:pt idx="28">
                  <c:v>0.11817302744607788</c:v>
                </c:pt>
                <c:pt idx="29">
                  <c:v>0.14748987471763084</c:v>
                </c:pt>
              </c:numCache>
            </c:numRef>
          </c:xVal>
          <c:yVal>
            <c:numRef>
              <c:f>'Undrained (Poisson)'!$M$2:$M$32</c:f>
              <c:numCache>
                <c:formatCode>0.00000</c:formatCode>
                <c:ptCount val="31"/>
                <c:pt idx="0">
                  <c:v>0</c:v>
                </c:pt>
                <c:pt idx="1">
                  <c:v>11.083977241544572</c:v>
                </c:pt>
                <c:pt idx="2">
                  <c:v>22.167954483089144</c:v>
                </c:pt>
                <c:pt idx="3">
                  <c:v>33.251931724633714</c:v>
                </c:pt>
                <c:pt idx="4">
                  <c:v>44.335908966178287</c:v>
                </c:pt>
                <c:pt idx="5">
                  <c:v>55.419886207722861</c:v>
                </c:pt>
                <c:pt idx="6">
                  <c:v>66.503863449267428</c:v>
                </c:pt>
                <c:pt idx="7">
                  <c:v>77.587840690812001</c:v>
                </c:pt>
                <c:pt idx="8">
                  <c:v>88.671817932356575</c:v>
                </c:pt>
                <c:pt idx="9">
                  <c:v>99.755795173901149</c:v>
                </c:pt>
                <c:pt idx="10">
                  <c:v>110.83977241544572</c:v>
                </c:pt>
                <c:pt idx="11">
                  <c:v>111.03829156932562</c:v>
                </c:pt>
                <c:pt idx="12">
                  <c:v>111.23425397762902</c:v>
                </c:pt>
                <c:pt idx="13">
                  <c:v>111.42767131374859</c:v>
                </c:pt>
                <c:pt idx="14">
                  <c:v>111.6185549798745</c:v>
                </c:pt>
                <c:pt idx="15">
                  <c:v>111.8069161117359</c:v>
                </c:pt>
                <c:pt idx="16">
                  <c:v>111.99276558318942</c:v>
                </c:pt>
                <c:pt idx="17">
                  <c:v>112.17611401065834</c:v>
                </c:pt>
                <c:pt idx="18">
                  <c:v>112.35697175742774</c:v>
                </c:pt>
                <c:pt idx="19">
                  <c:v>112.53534893780008</c:v>
                </c:pt>
                <c:pt idx="20">
                  <c:v>112.71125542111487</c:v>
                </c:pt>
                <c:pt idx="21">
                  <c:v>113.02478674233112</c:v>
                </c:pt>
                <c:pt idx="22">
                  <c:v>113.30005495571456</c:v>
                </c:pt>
                <c:pt idx="23">
                  <c:v>113.53927496114817</c:v>
                </c:pt>
                <c:pt idx="24">
                  <c:v>113.74439645380224</c:v>
                </c:pt>
                <c:pt idx="25">
                  <c:v>113.91711140324013</c:v>
                </c:pt>
                <c:pt idx="26">
                  <c:v>114.05886012539219</c:v>
                </c:pt>
                <c:pt idx="27">
                  <c:v>114.17083614789692</c:v>
                </c:pt>
                <c:pt idx="28">
                  <c:v>114.25399003195409</c:v>
                </c:pt>
                <c:pt idx="29">
                  <c:v>114.30903228096585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4-40B6-BE4E-6D9D1FE4D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181103"/>
        <c:axId val="1"/>
      </c:scatterChart>
      <c:valAx>
        <c:axId val="673181103"/>
        <c:scaling>
          <c:orientation val="minMax"/>
        </c:scaling>
        <c:delete val="0"/>
        <c:axPos val="b"/>
        <c:majorGridlines/>
        <c:numFmt formatCode="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6731811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tabSelected="1" zoomScale="94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94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94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94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94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94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365760</xdr:colOff>
      <xdr:row>9</xdr:row>
      <xdr:rowOff>144780</xdr:rowOff>
    </xdr:from>
    <xdr:to>
      <xdr:col>38</xdr:col>
      <xdr:colOff>152400</xdr:colOff>
      <xdr:row>29</xdr:row>
      <xdr:rowOff>121920</xdr:rowOff>
    </xdr:to>
    <xdr:graphicFrame macro="">
      <xdr:nvGraphicFramePr>
        <xdr:cNvPr id="1081" name="Chart 4">
          <a:extLst>
            <a:ext uri="{FF2B5EF4-FFF2-40B4-BE49-F238E27FC236}">
              <a16:creationId xmlns:a16="http://schemas.microsoft.com/office/drawing/2014/main" id="{2C0B4860-79F5-FE8D-E2FA-91E2D2E5D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008" cy="60696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03950C-FD72-334E-52FF-52AD7D528D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7008" cy="60696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CA6F8-47E6-FCA1-B578-2BC1A4EDCF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008" cy="60696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0F1ADD-5F91-7EC4-0082-6298EAFADA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7008" cy="60696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28832-CB5E-CA3A-0255-E7FB7C2FF3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7008" cy="60696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0204A-CB35-C2CD-8AB2-EBD93822B9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7008" cy="60696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DA988-0CEE-6C70-41DF-57C4B2A188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2"/>
  <sheetViews>
    <sheetView workbookViewId="0">
      <selection activeCell="A8" sqref="A8:C8"/>
    </sheetView>
  </sheetViews>
  <sheetFormatPr defaultRowHeight="12.75" x14ac:dyDescent="0.35"/>
  <cols>
    <col min="6" max="7" width="9.53125" bestFit="1" customWidth="1"/>
    <col min="12" max="12" width="9.33203125" bestFit="1" customWidth="1"/>
    <col min="13" max="13" width="9.53125" bestFit="1" customWidth="1"/>
    <col min="18" max="19" width="9.53125" bestFit="1" customWidth="1"/>
  </cols>
  <sheetData>
    <row r="1" spans="1:40" ht="13.15" x14ac:dyDescent="0.4">
      <c r="A1" s="28" t="s">
        <v>24</v>
      </c>
      <c r="B1" s="29"/>
      <c r="C1" s="30"/>
      <c r="E1" s="3" t="s">
        <v>28</v>
      </c>
      <c r="F1" s="3" t="s">
        <v>26</v>
      </c>
      <c r="G1" s="3" t="s">
        <v>27</v>
      </c>
      <c r="I1" s="3" t="s">
        <v>5</v>
      </c>
      <c r="J1" s="18" t="s">
        <v>49</v>
      </c>
      <c r="L1" s="3" t="s">
        <v>5</v>
      </c>
      <c r="M1" s="3" t="s">
        <v>27</v>
      </c>
      <c r="O1" t="s">
        <v>57</v>
      </c>
      <c r="P1" t="s">
        <v>58</v>
      </c>
      <c r="Q1" t="s">
        <v>59</v>
      </c>
      <c r="R1" t="s">
        <v>60</v>
      </c>
      <c r="T1" t="s">
        <v>50</v>
      </c>
      <c r="U1" t="s">
        <v>51</v>
      </c>
      <c r="W1" t="s">
        <v>52</v>
      </c>
      <c r="X1" t="s">
        <v>53</v>
      </c>
      <c r="Y1" t="s">
        <v>54</v>
      </c>
      <c r="Z1" t="s">
        <v>55</v>
      </c>
    </row>
    <row r="2" spans="1:40" ht="13.15" x14ac:dyDescent="0.4">
      <c r="A2" s="41" t="s">
        <v>23</v>
      </c>
      <c r="B2" s="15" t="s">
        <v>6</v>
      </c>
      <c r="C2" s="7">
        <v>200</v>
      </c>
      <c r="E2" s="3" t="s">
        <v>29</v>
      </c>
      <c r="F2" s="1">
        <f>C4</f>
        <v>200</v>
      </c>
      <c r="G2" s="1">
        <f>(F2-$C$23)*SQRT(3)</f>
        <v>0</v>
      </c>
      <c r="I2" s="1">
        <f>W2*$C$26</f>
        <v>0</v>
      </c>
      <c r="J2" s="26">
        <f>T2</f>
        <v>0</v>
      </c>
      <c r="L2" s="1">
        <f t="shared" ref="L2:L31" si="0">I2</f>
        <v>0</v>
      </c>
      <c r="M2" s="1">
        <f t="shared" ref="M2:M31" si="1">G2</f>
        <v>0</v>
      </c>
      <c r="O2" s="1">
        <f>W2*$C$26</f>
        <v>0</v>
      </c>
      <c r="P2" s="1">
        <v>0</v>
      </c>
      <c r="Q2" s="1">
        <f>T2</f>
        <v>0</v>
      </c>
      <c r="R2" s="1">
        <f>P2</f>
        <v>0</v>
      </c>
      <c r="S2" s="1"/>
      <c r="T2" s="4">
        <v>0</v>
      </c>
      <c r="U2" s="4">
        <v>0</v>
      </c>
      <c r="W2" s="26">
        <f>LN((SQRT(3)*$C$23+G2)/(SQRT(3)*$C$23+$G$2))</f>
        <v>0</v>
      </c>
      <c r="X2" s="26">
        <f t="shared" ref="X2:X26" si="2">U2</f>
        <v>0</v>
      </c>
      <c r="AC2">
        <v>0</v>
      </c>
      <c r="AD2">
        <v>0</v>
      </c>
      <c r="AF2">
        <v>100</v>
      </c>
      <c r="AG2">
        <v>0</v>
      </c>
    </row>
    <row r="3" spans="1:40" ht="13.15" x14ac:dyDescent="0.4">
      <c r="A3" s="41"/>
      <c r="B3" s="15" t="s">
        <v>7</v>
      </c>
      <c r="C3" s="7">
        <v>200</v>
      </c>
      <c r="E3" s="3">
        <v>1</v>
      </c>
      <c r="F3" s="1">
        <f>$F$2+($C$20-$F$2)/25*E3</f>
        <v>201.94115040778709</v>
      </c>
      <c r="G3" s="1">
        <f t="shared" ref="G3:G52" si="3">(F3-$C$23)*SQRT(3)</f>
        <v>3.3621711314202871</v>
      </c>
      <c r="I3" s="1">
        <f t="shared" ref="I3:I27" si="4">W3*$C$26</f>
        <v>1.5851316946310344E-3</v>
      </c>
      <c r="J3" s="26">
        <f t="shared" ref="J3:J27" si="5">T3</f>
        <v>5.4910572635774124E-4</v>
      </c>
      <c r="L3" s="1">
        <f t="shared" si="0"/>
        <v>1.5851316946310344E-3</v>
      </c>
      <c r="M3" s="1">
        <f t="shared" si="1"/>
        <v>3.3621711314202871</v>
      </c>
      <c r="O3" s="1">
        <f t="shared" ref="O3:O52" si="6">W3*$C$26</f>
        <v>1.5851316946310344E-3</v>
      </c>
      <c r="P3" s="1">
        <v>0</v>
      </c>
      <c r="Q3" s="1">
        <f t="shared" ref="Q3:Q52" si="7">T3</f>
        <v>5.4910572635774124E-4</v>
      </c>
      <c r="R3" s="1">
        <f t="shared" ref="R3:R27" si="8">P3</f>
        <v>0</v>
      </c>
      <c r="S3" s="1"/>
      <c r="T3" s="4">
        <f>($C$9/$C$15)*LN(1+(G3-$G$2)/($F$2*SQRT(3)))</f>
        <v>5.4910572635774124E-4</v>
      </c>
      <c r="U3" s="4">
        <v>0</v>
      </c>
      <c r="W3" s="26">
        <f t="shared" ref="W3:W52" si="9">LN((SQRT(3)*$C$23+G3)/(SQRT(3)*$C$23+$G$2))</f>
        <v>9.6589537920795093E-3</v>
      </c>
      <c r="X3" s="26">
        <f t="shared" si="2"/>
        <v>0</v>
      </c>
      <c r="AC3">
        <v>10</v>
      </c>
      <c r="AD3">
        <f>SQRT(500/AC3-1)*AC3*$C$14</f>
        <v>52.022021255394172</v>
      </c>
      <c r="AF3">
        <v>300</v>
      </c>
      <c r="AG3">
        <f>(AF3-AF2)*SQRT(3)</f>
        <v>346.41016151377545</v>
      </c>
      <c r="AI3" t="s">
        <v>41</v>
      </c>
      <c r="AJ3">
        <v>205.55420945019426</v>
      </c>
      <c r="AM3">
        <f>AJ3</f>
        <v>205.55420945019426</v>
      </c>
      <c r="AN3">
        <v>0</v>
      </c>
    </row>
    <row r="4" spans="1:40" x14ac:dyDescent="0.35">
      <c r="A4" s="41"/>
      <c r="B4" s="5" t="s">
        <v>2</v>
      </c>
      <c r="C4" s="8">
        <f>1/3*(C2+C3+C3)</f>
        <v>200</v>
      </c>
      <c r="E4" s="3">
        <f t="shared" ref="E4:E51" si="10">E3+1</f>
        <v>2</v>
      </c>
      <c r="F4" s="1">
        <f t="shared" ref="F4:F26" si="11">$F$2+($C$20-$F$2)/25*E4</f>
        <v>203.88230081557421</v>
      </c>
      <c r="G4" s="1">
        <f t="shared" si="3"/>
        <v>6.724342262840624</v>
      </c>
      <c r="I4" s="1">
        <f t="shared" si="4"/>
        <v>3.1550990305408326E-3</v>
      </c>
      <c r="J4" s="26">
        <f t="shared" si="5"/>
        <v>1.0929583647616063E-3</v>
      </c>
      <c r="L4" s="1">
        <f t="shared" si="0"/>
        <v>3.1550990305408326E-3</v>
      </c>
      <c r="M4" s="1">
        <f t="shared" si="1"/>
        <v>6.724342262840624</v>
      </c>
      <c r="O4" s="1">
        <f t="shared" si="6"/>
        <v>3.1550990305408326E-3</v>
      </c>
      <c r="P4" s="1">
        <v>0</v>
      </c>
      <c r="Q4" s="1">
        <f t="shared" si="7"/>
        <v>1.0929583647616063E-3</v>
      </c>
      <c r="R4" s="1">
        <f t="shared" si="8"/>
        <v>0</v>
      </c>
      <c r="S4" s="1"/>
      <c r="T4" s="4">
        <f t="shared" ref="T4:T52" si="12">($C$9/$C$15)*LN(1+(G4-$G$2)/($F$2*SQRT(3)))</f>
        <v>1.0929583647616063E-3</v>
      </c>
      <c r="U4" s="4">
        <v>0</v>
      </c>
      <c r="W4" s="26">
        <f t="shared" si="9"/>
        <v>1.9225504006165437E-2</v>
      </c>
      <c r="X4" s="26">
        <f t="shared" si="2"/>
        <v>0</v>
      </c>
      <c r="AC4">
        <v>20</v>
      </c>
      <c r="AD4">
        <f t="shared" ref="AD4:AD52" si="13">SQRT(500/AC4-1)*AC4*$C$14</f>
        <v>72.815661407963702</v>
      </c>
      <c r="AI4" t="s">
        <v>42</v>
      </c>
      <c r="AJ4">
        <f>(AJ3-AF2)*SQRT(3)</f>
        <v>182.82525372050338</v>
      </c>
      <c r="AM4">
        <f>AJ3</f>
        <v>205.55420945019426</v>
      </c>
      <c r="AN4">
        <v>200</v>
      </c>
    </row>
    <row r="5" spans="1:40" x14ac:dyDescent="0.35">
      <c r="A5" s="41"/>
      <c r="B5" s="5" t="s">
        <v>3</v>
      </c>
      <c r="C5" s="8">
        <f>(C2-C3)/SQRT(3)</f>
        <v>0</v>
      </c>
      <c r="E5" s="3">
        <f t="shared" si="10"/>
        <v>3</v>
      </c>
      <c r="F5" s="1">
        <f t="shared" si="11"/>
        <v>205.8234512233613</v>
      </c>
      <c r="G5" s="1">
        <f t="shared" si="3"/>
        <v>10.08651339426091</v>
      </c>
      <c r="I5" s="1">
        <f t="shared" si="4"/>
        <v>4.7101894039216132E-3</v>
      </c>
      <c r="J5" s="26">
        <f t="shared" si="5"/>
        <v>1.6316574721729597E-3</v>
      </c>
      <c r="L5" s="1">
        <f t="shared" si="0"/>
        <v>4.7101894039216132E-3</v>
      </c>
      <c r="M5" s="1">
        <f t="shared" si="1"/>
        <v>10.08651339426091</v>
      </c>
      <c r="O5" s="1">
        <f t="shared" si="6"/>
        <v>4.7101894039216132E-3</v>
      </c>
      <c r="P5" s="1">
        <v>0</v>
      </c>
      <c r="Q5" s="1">
        <f t="shared" si="7"/>
        <v>1.6316574721729597E-3</v>
      </c>
      <c r="R5" s="1">
        <f t="shared" si="8"/>
        <v>0</v>
      </c>
      <c r="S5" s="1"/>
      <c r="T5" s="4">
        <f t="shared" si="12"/>
        <v>1.6316574721729597E-3</v>
      </c>
      <c r="U5" s="4">
        <v>0</v>
      </c>
      <c r="W5" s="26">
        <f t="shared" si="9"/>
        <v>2.8701401882580625E-2</v>
      </c>
      <c r="X5" s="26">
        <f t="shared" si="2"/>
        <v>0</v>
      </c>
      <c r="AC5">
        <v>30</v>
      </c>
      <c r="AD5">
        <f t="shared" si="13"/>
        <v>88.246753777958304</v>
      </c>
      <c r="AF5">
        <v>0</v>
      </c>
      <c r="AG5">
        <v>0</v>
      </c>
      <c r="AI5" t="s">
        <v>43</v>
      </c>
      <c r="AJ5">
        <f>3*(AJ3-AF2)^2/(AJ3*AJ3*C14*C14)-C7/AJ3+1</f>
        <v>0.97285493807742296</v>
      </c>
    </row>
    <row r="6" spans="1:40" x14ac:dyDescent="0.35">
      <c r="A6" s="31"/>
      <c r="B6" s="32"/>
      <c r="C6" s="33"/>
      <c r="E6" s="3">
        <f t="shared" si="10"/>
        <v>4</v>
      </c>
      <c r="F6" s="1">
        <f t="shared" si="11"/>
        <v>207.76460163114839</v>
      </c>
      <c r="G6" s="1">
        <f t="shared" si="3"/>
        <v>13.448684525681198</v>
      </c>
      <c r="I6" s="1">
        <f t="shared" si="4"/>
        <v>6.250682117465118E-3</v>
      </c>
      <c r="J6" s="26">
        <f t="shared" si="5"/>
        <v>2.1652998018823594E-3</v>
      </c>
      <c r="L6" s="1">
        <f t="shared" si="0"/>
        <v>6.250682117465118E-3</v>
      </c>
      <c r="M6" s="1">
        <f t="shared" si="1"/>
        <v>13.448684525681198</v>
      </c>
      <c r="O6" s="1">
        <f t="shared" si="6"/>
        <v>6.250682117465118E-3</v>
      </c>
      <c r="P6" s="1">
        <v>0</v>
      </c>
      <c r="Q6" s="1">
        <f t="shared" si="7"/>
        <v>2.1652998018823594E-3</v>
      </c>
      <c r="R6" s="1">
        <f t="shared" si="8"/>
        <v>0</v>
      </c>
      <c r="S6" s="1"/>
      <c r="T6" s="4">
        <f t="shared" si="12"/>
        <v>2.1652998018823594E-3</v>
      </c>
      <c r="U6" s="4">
        <v>0</v>
      </c>
      <c r="W6" s="26">
        <f t="shared" si="9"/>
        <v>3.8088349344138607E-2</v>
      </c>
      <c r="X6" s="26">
        <f t="shared" si="2"/>
        <v>0</v>
      </c>
      <c r="AC6">
        <v>40</v>
      </c>
      <c r="AD6">
        <f t="shared" si="13"/>
        <v>100.80871844092569</v>
      </c>
      <c r="AF6">
        <f>AF3</f>
        <v>300</v>
      </c>
      <c r="AG6">
        <f>AF6*C14</f>
        <v>222.95151966597501</v>
      </c>
    </row>
    <row r="7" spans="1:40" x14ac:dyDescent="0.35">
      <c r="A7" s="9" t="s">
        <v>13</v>
      </c>
      <c r="B7" s="5" t="s">
        <v>14</v>
      </c>
      <c r="C7" s="10">
        <v>300</v>
      </c>
      <c r="E7" s="3">
        <f t="shared" si="10"/>
        <v>5</v>
      </c>
      <c r="F7" s="1">
        <f t="shared" si="11"/>
        <v>209.70575203893551</v>
      </c>
      <c r="G7" s="1">
        <f t="shared" si="3"/>
        <v>16.810855657101534</v>
      </c>
      <c r="I7" s="1">
        <f t="shared" si="4"/>
        <v>7.7768486814383348E-3</v>
      </c>
      <c r="J7" s="26">
        <f t="shared" si="5"/>
        <v>2.6939794078052453E-3</v>
      </c>
      <c r="L7" s="1">
        <f t="shared" si="0"/>
        <v>7.7768486814383348E-3</v>
      </c>
      <c r="M7" s="1">
        <f t="shared" si="1"/>
        <v>16.810855657101534</v>
      </c>
      <c r="O7" s="1">
        <f t="shared" si="6"/>
        <v>7.7768486814383348E-3</v>
      </c>
      <c r="P7" s="1">
        <v>0</v>
      </c>
      <c r="Q7" s="1">
        <f t="shared" si="7"/>
        <v>2.6939794078052453E-3</v>
      </c>
      <c r="R7" s="1">
        <f t="shared" si="8"/>
        <v>0</v>
      </c>
      <c r="S7" s="1"/>
      <c r="T7" s="4">
        <f t="shared" si="12"/>
        <v>2.6939794078052453E-3</v>
      </c>
      <c r="U7" s="4">
        <v>0</v>
      </c>
      <c r="W7" s="26">
        <f t="shared" si="9"/>
        <v>4.7388000830739734E-2</v>
      </c>
      <c r="X7" s="26">
        <f t="shared" si="2"/>
        <v>0</v>
      </c>
      <c r="AC7">
        <v>50</v>
      </c>
      <c r="AD7">
        <f t="shared" si="13"/>
        <v>111.47575983298751</v>
      </c>
    </row>
    <row r="8" spans="1:40" x14ac:dyDescent="0.35">
      <c r="A8" s="31"/>
      <c r="B8" s="32"/>
      <c r="C8" s="33"/>
      <c r="E8" s="3">
        <f t="shared" si="10"/>
        <v>6</v>
      </c>
      <c r="F8" s="1">
        <f t="shared" si="11"/>
        <v>211.64690244672261</v>
      </c>
      <c r="G8" s="1">
        <f t="shared" si="3"/>
        <v>20.17302678852182</v>
      </c>
      <c r="I8" s="1">
        <f t="shared" si="4"/>
        <v>9.2889531008882014E-3</v>
      </c>
      <c r="J8" s="26">
        <f t="shared" si="5"/>
        <v>3.2177877439725677E-3</v>
      </c>
      <c r="L8" s="1">
        <f t="shared" si="0"/>
        <v>9.2889531008882014E-3</v>
      </c>
      <c r="M8" s="1">
        <f t="shared" si="1"/>
        <v>20.17302678852182</v>
      </c>
      <c r="O8" s="1">
        <f t="shared" si="6"/>
        <v>9.2889531008882014E-3</v>
      </c>
      <c r="P8" s="1">
        <v>0</v>
      </c>
      <c r="Q8" s="1">
        <f t="shared" si="7"/>
        <v>3.2177877439725677E-3</v>
      </c>
      <c r="R8" s="1">
        <f t="shared" si="8"/>
        <v>0</v>
      </c>
      <c r="S8" s="1"/>
      <c r="T8" s="4">
        <f t="shared" si="12"/>
        <v>3.2177877439725677E-3</v>
      </c>
      <c r="U8" s="4">
        <v>0</v>
      </c>
      <c r="W8" s="26">
        <f t="shared" si="9"/>
        <v>5.6601965049444675E-2</v>
      </c>
      <c r="X8" s="26">
        <f t="shared" si="2"/>
        <v>0</v>
      </c>
      <c r="AC8">
        <v>60</v>
      </c>
      <c r="AD8">
        <f t="shared" si="13"/>
        <v>120.75111387588872</v>
      </c>
    </row>
    <row r="9" spans="1:40" ht="12.75" customHeight="1" x14ac:dyDescent="0.4">
      <c r="A9" s="38" t="s">
        <v>22</v>
      </c>
      <c r="B9" s="15" t="s">
        <v>0</v>
      </c>
      <c r="C9" s="7">
        <v>0.05</v>
      </c>
      <c r="E9" s="3">
        <f t="shared" si="10"/>
        <v>7</v>
      </c>
      <c r="F9" s="1">
        <f t="shared" si="11"/>
        <v>213.58805285450973</v>
      </c>
      <c r="G9" s="1">
        <f t="shared" si="3"/>
        <v>23.53519791994216</v>
      </c>
      <c r="I9" s="1">
        <f t="shared" si="4"/>
        <v>1.0787252149735523E-2</v>
      </c>
      <c r="J9" s="26">
        <f t="shared" si="5"/>
        <v>3.7368137594797042E-3</v>
      </c>
      <c r="L9" s="1">
        <f t="shared" si="0"/>
        <v>1.0787252149735523E-2</v>
      </c>
      <c r="M9" s="1">
        <f t="shared" si="1"/>
        <v>23.53519791994216</v>
      </c>
      <c r="O9" s="1">
        <f t="shared" si="6"/>
        <v>1.0787252149735523E-2</v>
      </c>
      <c r="P9" s="1">
        <v>0</v>
      </c>
      <c r="Q9" s="1">
        <f t="shared" si="7"/>
        <v>3.7368137594797042E-3</v>
      </c>
      <c r="R9" s="1">
        <f t="shared" si="8"/>
        <v>0</v>
      </c>
      <c r="S9" s="1"/>
      <c r="T9" s="4">
        <f t="shared" si="12"/>
        <v>3.7368137594797042E-3</v>
      </c>
      <c r="U9" s="4">
        <v>0</v>
      </c>
      <c r="W9" s="26">
        <f t="shared" si="9"/>
        <v>6.573180664465772E-2</v>
      </c>
      <c r="X9" s="26">
        <f t="shared" si="2"/>
        <v>0</v>
      </c>
      <c r="AC9">
        <v>70</v>
      </c>
      <c r="AD9">
        <f t="shared" si="13"/>
        <v>128.93547661322552</v>
      </c>
    </row>
    <row r="10" spans="1:40" ht="13.15" x14ac:dyDescent="0.4">
      <c r="A10" s="39"/>
      <c r="B10" s="15" t="s">
        <v>1</v>
      </c>
      <c r="C10" s="7">
        <v>0.2</v>
      </c>
      <c r="E10" s="3">
        <f t="shared" si="10"/>
        <v>8</v>
      </c>
      <c r="F10" s="1">
        <f t="shared" si="11"/>
        <v>215.52920326229682</v>
      </c>
      <c r="G10" s="1">
        <f t="shared" si="3"/>
        <v>26.897369051362446</v>
      </c>
      <c r="I10" s="1">
        <f t="shared" si="4"/>
        <v>1.2271995632468974E-2</v>
      </c>
      <c r="J10" s="26">
        <f t="shared" si="5"/>
        <v>4.2511439891399242E-3</v>
      </c>
      <c r="L10" s="1">
        <f t="shared" si="0"/>
        <v>1.2271995632468974E-2</v>
      </c>
      <c r="M10" s="1">
        <f t="shared" si="1"/>
        <v>26.897369051362446</v>
      </c>
      <c r="O10" s="1">
        <f t="shared" si="6"/>
        <v>1.2271995632468974E-2</v>
      </c>
      <c r="P10" s="1">
        <v>0</v>
      </c>
      <c r="Q10" s="1">
        <f t="shared" si="7"/>
        <v>4.2511439891399242E-3</v>
      </c>
      <c r="R10" s="1">
        <f t="shared" si="8"/>
        <v>0</v>
      </c>
      <c r="S10" s="1"/>
      <c r="T10" s="4">
        <f t="shared" si="12"/>
        <v>4.2511439891399242E-3</v>
      </c>
      <c r="U10" s="4">
        <v>0</v>
      </c>
      <c r="W10" s="26">
        <f t="shared" si="9"/>
        <v>7.4779047792751546E-2</v>
      </c>
      <c r="X10" s="26">
        <f t="shared" si="2"/>
        <v>0</v>
      </c>
      <c r="AC10">
        <v>80</v>
      </c>
      <c r="AD10">
        <f t="shared" si="13"/>
        <v>136.2256286899688</v>
      </c>
    </row>
    <row r="11" spans="1:40" ht="13.15" x14ac:dyDescent="0.4">
      <c r="A11" s="39"/>
      <c r="B11" s="15" t="s">
        <v>10</v>
      </c>
      <c r="C11" s="7">
        <v>2</v>
      </c>
      <c r="E11" s="3">
        <f t="shared" si="10"/>
        <v>9</v>
      </c>
      <c r="F11" s="1">
        <f t="shared" si="11"/>
        <v>217.47035367008391</v>
      </c>
      <c r="G11" s="1">
        <f t="shared" si="3"/>
        <v>30.259540182782732</v>
      </c>
      <c r="I11" s="1">
        <f t="shared" si="4"/>
        <v>1.3743426634107327E-2</v>
      </c>
      <c r="J11" s="26">
        <f t="shared" si="5"/>
        <v>4.760862640073831E-3</v>
      </c>
      <c r="L11" s="1">
        <f t="shared" si="0"/>
        <v>1.3743426634107327E-2</v>
      </c>
      <c r="M11" s="1">
        <f t="shared" si="1"/>
        <v>30.259540182782732</v>
      </c>
      <c r="O11" s="1">
        <f t="shared" si="6"/>
        <v>1.3743426634107327E-2</v>
      </c>
      <c r="P11" s="1">
        <v>0</v>
      </c>
      <c r="Q11" s="1">
        <f t="shared" si="7"/>
        <v>4.760862640073831E-3</v>
      </c>
      <c r="R11" s="1">
        <f t="shared" si="8"/>
        <v>0</v>
      </c>
      <c r="S11" s="1"/>
      <c r="T11" s="4">
        <f t="shared" si="12"/>
        <v>4.760862640073831E-3</v>
      </c>
      <c r="U11" s="4">
        <v>0</v>
      </c>
      <c r="W11" s="26">
        <f t="shared" si="9"/>
        <v>8.3745169725204807E-2</v>
      </c>
      <c r="X11" s="26">
        <f t="shared" si="2"/>
        <v>0</v>
      </c>
      <c r="AC11">
        <v>90</v>
      </c>
      <c r="AD11">
        <f t="shared" si="13"/>
        <v>142.75862793456909</v>
      </c>
    </row>
    <row r="12" spans="1:40" ht="13.15" x14ac:dyDescent="0.4">
      <c r="A12" s="39"/>
      <c r="B12" s="15" t="s">
        <v>9</v>
      </c>
      <c r="C12" s="7">
        <v>32</v>
      </c>
      <c r="E12" s="3">
        <f t="shared" si="10"/>
        <v>10</v>
      </c>
      <c r="F12" s="1">
        <f t="shared" si="11"/>
        <v>219.41150407787103</v>
      </c>
      <c r="G12" s="1">
        <f t="shared" si="3"/>
        <v>33.621711314203068</v>
      </c>
      <c r="I12" s="1">
        <f t="shared" si="4"/>
        <v>1.5201781759054404E-2</v>
      </c>
      <c r="J12" s="26">
        <f t="shared" si="5"/>
        <v>5.2660516744512022E-3</v>
      </c>
      <c r="L12" s="1">
        <f t="shared" si="0"/>
        <v>1.5201781759054404E-2</v>
      </c>
      <c r="M12" s="1">
        <f t="shared" si="1"/>
        <v>33.621711314203068</v>
      </c>
      <c r="O12" s="1">
        <f t="shared" si="6"/>
        <v>1.5201781759054404E-2</v>
      </c>
      <c r="P12" s="1">
        <v>0</v>
      </c>
      <c r="Q12" s="1">
        <f t="shared" si="7"/>
        <v>5.2660516744512022E-3</v>
      </c>
      <c r="R12" s="1">
        <f t="shared" si="8"/>
        <v>0</v>
      </c>
      <c r="S12" s="1"/>
      <c r="T12" s="4">
        <f t="shared" si="12"/>
        <v>5.2660516744512022E-3</v>
      </c>
      <c r="U12" s="4">
        <v>0</v>
      </c>
      <c r="W12" s="26">
        <f t="shared" si="9"/>
        <v>9.263161418405777E-2</v>
      </c>
      <c r="X12" s="26">
        <f t="shared" si="2"/>
        <v>0</v>
      </c>
      <c r="AC12">
        <v>100</v>
      </c>
      <c r="AD12">
        <f t="shared" si="13"/>
        <v>148.63434644398333</v>
      </c>
    </row>
    <row r="13" spans="1:40" ht="13.15" x14ac:dyDescent="0.4">
      <c r="A13" s="39"/>
      <c r="B13" s="15" t="s">
        <v>11</v>
      </c>
      <c r="C13" s="7">
        <v>0.25</v>
      </c>
      <c r="E13" s="3">
        <f t="shared" si="10"/>
        <v>11</v>
      </c>
      <c r="F13" s="1">
        <f t="shared" si="11"/>
        <v>221.35265448565812</v>
      </c>
      <c r="G13" s="1">
        <f t="shared" si="3"/>
        <v>36.983882445623358</v>
      </c>
      <c r="I13" s="1">
        <f t="shared" si="4"/>
        <v>1.6647291359434806E-2</v>
      </c>
      <c r="J13" s="26">
        <f t="shared" si="5"/>
        <v>5.7667908885886895E-3</v>
      </c>
      <c r="L13" s="1">
        <f t="shared" si="0"/>
        <v>1.6647291359434806E-2</v>
      </c>
      <c r="M13" s="1">
        <f t="shared" si="1"/>
        <v>36.983882445623358</v>
      </c>
      <c r="O13" s="1">
        <f t="shared" si="6"/>
        <v>1.6647291359434806E-2</v>
      </c>
      <c r="P13" s="1">
        <v>0</v>
      </c>
      <c r="Q13" s="1">
        <f t="shared" si="7"/>
        <v>5.7667908885886895E-3</v>
      </c>
      <c r="R13" s="1">
        <f t="shared" si="8"/>
        <v>0</v>
      </c>
      <c r="S13" s="1"/>
      <c r="T13" s="4">
        <f t="shared" si="12"/>
        <v>5.7667908885886895E-3</v>
      </c>
      <c r="U13" s="4">
        <v>0</v>
      </c>
      <c r="W13" s="26">
        <f t="shared" si="9"/>
        <v>0.10143978481326944</v>
      </c>
      <c r="X13" s="26">
        <f t="shared" si="2"/>
        <v>0</v>
      </c>
      <c r="AC13">
        <v>110</v>
      </c>
      <c r="AD13">
        <f t="shared" si="13"/>
        <v>153.92807148530525</v>
      </c>
    </row>
    <row r="14" spans="1:40" x14ac:dyDescent="0.35">
      <c r="A14" s="39"/>
      <c r="B14" s="16" t="s">
        <v>12</v>
      </c>
      <c r="C14" s="11">
        <f>SIN(RADIANS(C12))/(COS(RADIANS(-30))+SIN(RADIANS(-30))*SIN(RADIANS(C12))/SQRT(3))</f>
        <v>0.74317173221991673</v>
      </c>
      <c r="E14" s="3">
        <f t="shared" si="10"/>
        <v>12</v>
      </c>
      <c r="F14" s="1">
        <f t="shared" si="11"/>
        <v>223.29380489344521</v>
      </c>
      <c r="G14" s="1">
        <f t="shared" si="3"/>
        <v>40.346053577043641</v>
      </c>
      <c r="I14" s="1">
        <f t="shared" si="4"/>
        <v>1.8080179753460629E-2</v>
      </c>
      <c r="J14" s="26">
        <f t="shared" si="5"/>
        <v>6.2631579885943887E-3</v>
      </c>
      <c r="L14" s="1">
        <f t="shared" si="0"/>
        <v>1.8080179753460629E-2</v>
      </c>
      <c r="M14" s="1">
        <f t="shared" si="1"/>
        <v>40.346053577043641</v>
      </c>
      <c r="O14" s="1">
        <f t="shared" si="6"/>
        <v>1.8080179753460629E-2</v>
      </c>
      <c r="P14" s="1">
        <v>0</v>
      </c>
      <c r="Q14" s="1">
        <f t="shared" si="7"/>
        <v>6.2631579885943887E-3</v>
      </c>
      <c r="R14" s="1">
        <f t="shared" si="8"/>
        <v>0</v>
      </c>
      <c r="S14" s="1"/>
      <c r="T14" s="4">
        <f t="shared" si="12"/>
        <v>6.2631579885943887E-3</v>
      </c>
      <c r="U14" s="4">
        <v>0</v>
      </c>
      <c r="W14" s="26">
        <f t="shared" si="9"/>
        <v>0.11017104848932885</v>
      </c>
      <c r="X14" s="26">
        <f t="shared" si="2"/>
        <v>0</v>
      </c>
      <c r="AC14">
        <v>120</v>
      </c>
      <c r="AD14">
        <f t="shared" si="13"/>
        <v>158.6980547921942</v>
      </c>
    </row>
    <row r="15" spans="1:40" ht="13.15" x14ac:dyDescent="0.4">
      <c r="A15" s="40"/>
      <c r="B15" s="15" t="s">
        <v>8</v>
      </c>
      <c r="C15" s="11">
        <f>C11-LN(C7)*C10+LN(C7/C4)*C9</f>
        <v>0.87951676047416794</v>
      </c>
      <c r="E15" s="3">
        <f t="shared" si="10"/>
        <v>13</v>
      </c>
      <c r="F15" s="1">
        <f t="shared" si="11"/>
        <v>225.23495530123233</v>
      </c>
      <c r="G15" s="1">
        <f t="shared" si="3"/>
        <v>43.70822470846398</v>
      </c>
      <c r="I15" s="1">
        <f t="shared" si="4"/>
        <v>1.9500665434347565E-2</v>
      </c>
      <c r="J15" s="26">
        <f t="shared" si="5"/>
        <v>6.7552286627384278E-3</v>
      </c>
      <c r="L15" s="1">
        <f t="shared" si="0"/>
        <v>1.9500665434347565E-2</v>
      </c>
      <c r="M15" s="1">
        <f t="shared" si="1"/>
        <v>43.70822470846398</v>
      </c>
      <c r="O15" s="1">
        <f t="shared" si="6"/>
        <v>1.9500665434347565E-2</v>
      </c>
      <c r="P15" s="1">
        <v>0</v>
      </c>
      <c r="Q15" s="1">
        <f t="shared" si="7"/>
        <v>6.7552286627384278E-3</v>
      </c>
      <c r="R15" s="1">
        <f t="shared" si="8"/>
        <v>0</v>
      </c>
      <c r="S15" s="1"/>
      <c r="T15" s="4">
        <f t="shared" si="12"/>
        <v>6.7552286627384278E-3</v>
      </c>
      <c r="U15" s="4">
        <v>0</v>
      </c>
      <c r="W15" s="26">
        <f t="shared" si="9"/>
        <v>0.11882673659427914</v>
      </c>
      <c r="X15" s="26">
        <f t="shared" si="2"/>
        <v>0</v>
      </c>
      <c r="AC15">
        <v>130</v>
      </c>
      <c r="AD15">
        <f t="shared" si="13"/>
        <v>162.99028545822338</v>
      </c>
    </row>
    <row r="16" spans="1:40" x14ac:dyDescent="0.35">
      <c r="A16" s="31"/>
      <c r="B16" s="32"/>
      <c r="C16" s="33"/>
      <c r="E16" s="3">
        <f t="shared" si="10"/>
        <v>14</v>
      </c>
      <c r="F16" s="1">
        <f t="shared" si="11"/>
        <v>227.17610570901942</v>
      </c>
      <c r="G16" s="1">
        <f t="shared" si="3"/>
        <v>47.07039583988427</v>
      </c>
      <c r="I16" s="1">
        <f t="shared" si="4"/>
        <v>2.0908961270266365E-2</v>
      </c>
      <c r="J16" s="26">
        <f t="shared" si="5"/>
        <v>7.2430766507182581E-3</v>
      </c>
      <c r="L16" s="1">
        <f t="shared" si="0"/>
        <v>2.0908961270266365E-2</v>
      </c>
      <c r="M16" s="1">
        <f t="shared" si="1"/>
        <v>47.07039583988427</v>
      </c>
      <c r="O16" s="1">
        <f t="shared" si="6"/>
        <v>2.0908961270266365E-2</v>
      </c>
      <c r="P16" s="1">
        <v>0</v>
      </c>
      <c r="Q16" s="1">
        <f t="shared" si="7"/>
        <v>7.2430766507182581E-3</v>
      </c>
      <c r="R16" s="1">
        <f t="shared" si="8"/>
        <v>0</v>
      </c>
      <c r="S16" s="1"/>
      <c r="T16" s="4">
        <f t="shared" si="12"/>
        <v>7.2430766507182581E-3</v>
      </c>
      <c r="U16" s="4">
        <v>0</v>
      </c>
      <c r="W16" s="26">
        <f t="shared" si="9"/>
        <v>0.12740814623411598</v>
      </c>
      <c r="X16" s="26">
        <f t="shared" si="2"/>
        <v>0</v>
      </c>
      <c r="AC16">
        <v>140</v>
      </c>
      <c r="AD16">
        <f t="shared" si="13"/>
        <v>166.84164009013423</v>
      </c>
    </row>
    <row r="17" spans="1:30" x14ac:dyDescent="0.35">
      <c r="A17" s="41" t="s">
        <v>4</v>
      </c>
      <c r="B17" s="16" t="s">
        <v>18</v>
      </c>
      <c r="C17" s="8">
        <f>C23/(1-C14/SQRT(3))</f>
        <v>350.30588688665756</v>
      </c>
      <c r="E17" s="3">
        <f t="shared" si="10"/>
        <v>15</v>
      </c>
      <c r="F17" s="1">
        <f t="shared" si="11"/>
        <v>229.11725611680652</v>
      </c>
      <c r="G17" s="1">
        <f t="shared" si="3"/>
        <v>50.432566971304553</v>
      </c>
      <c r="I17" s="1">
        <f t="shared" si="4"/>
        <v>2.2305274695788444E-2</v>
      </c>
      <c r="J17" s="26">
        <f t="shared" si="5"/>
        <v>7.7267738099772157E-3</v>
      </c>
      <c r="L17" s="1">
        <f t="shared" si="0"/>
        <v>2.2305274695788444E-2</v>
      </c>
      <c r="M17" s="1">
        <f t="shared" si="1"/>
        <v>50.432566971304553</v>
      </c>
      <c r="O17" s="1">
        <f t="shared" si="6"/>
        <v>2.2305274695788444E-2</v>
      </c>
      <c r="P17" s="1">
        <v>0</v>
      </c>
      <c r="Q17" s="1">
        <f t="shared" si="7"/>
        <v>7.7267738099772157E-3</v>
      </c>
      <c r="R17" s="1">
        <f t="shared" si="8"/>
        <v>0</v>
      </c>
      <c r="S17" s="1"/>
      <c r="T17" s="4">
        <f t="shared" si="12"/>
        <v>7.7267738099772157E-3</v>
      </c>
      <c r="U17" s="4">
        <v>0</v>
      </c>
      <c r="W17" s="26">
        <f t="shared" si="9"/>
        <v>0.13591654140535589</v>
      </c>
      <c r="X17" s="26">
        <f t="shared" si="2"/>
        <v>0</v>
      </c>
      <c r="AC17">
        <v>150</v>
      </c>
      <c r="AD17">
        <f t="shared" si="13"/>
        <v>170.28203586246104</v>
      </c>
    </row>
    <row r="18" spans="1:30" x14ac:dyDescent="0.35">
      <c r="A18" s="41"/>
      <c r="B18" s="16" t="s">
        <v>19</v>
      </c>
      <c r="C18" s="8">
        <f>C17*C14</f>
        <v>260.33743276439151</v>
      </c>
      <c r="E18" s="3">
        <f t="shared" si="10"/>
        <v>16</v>
      </c>
      <c r="F18" s="1">
        <f t="shared" si="11"/>
        <v>231.05840652459364</v>
      </c>
      <c r="G18" s="1">
        <f t="shared" si="3"/>
        <v>53.794738102724892</v>
      </c>
      <c r="I18" s="1">
        <f t="shared" si="4"/>
        <v>2.3689807895254707E-2</v>
      </c>
      <c r="J18" s="26">
        <f t="shared" si="5"/>
        <v>8.2063901792254861E-3</v>
      </c>
      <c r="L18" s="1">
        <f t="shared" si="0"/>
        <v>2.3689807895254707E-2</v>
      </c>
      <c r="M18" s="1">
        <f t="shared" si="1"/>
        <v>53.794738102724892</v>
      </c>
      <c r="O18" s="1">
        <f t="shared" si="6"/>
        <v>2.3689807895254707E-2</v>
      </c>
      <c r="P18" s="1">
        <v>0</v>
      </c>
      <c r="Q18" s="1">
        <f t="shared" si="7"/>
        <v>8.2063901792254861E-3</v>
      </c>
      <c r="R18" s="1">
        <f t="shared" si="8"/>
        <v>0</v>
      </c>
      <c r="S18" s="1"/>
      <c r="T18" s="4">
        <f t="shared" si="12"/>
        <v>8.2063901792254861E-3</v>
      </c>
      <c r="U18" s="4">
        <v>0</v>
      </c>
      <c r="W18" s="26">
        <f t="shared" si="9"/>
        <v>0.14435315411238869</v>
      </c>
      <c r="X18" s="26">
        <f t="shared" si="2"/>
        <v>0</v>
      </c>
      <c r="AC18">
        <v>160</v>
      </c>
      <c r="AD18">
        <f t="shared" si="13"/>
        <v>173.33594480732751</v>
      </c>
    </row>
    <row r="19" spans="1:30" x14ac:dyDescent="0.35">
      <c r="A19" s="31"/>
      <c r="B19" s="32"/>
      <c r="C19" s="33"/>
      <c r="E19" s="3">
        <f t="shared" si="10"/>
        <v>17</v>
      </c>
      <c r="F19" s="1">
        <f t="shared" si="11"/>
        <v>232.99955693238073</v>
      </c>
      <c r="G19" s="1">
        <f t="shared" si="3"/>
        <v>57.156909234145182</v>
      </c>
      <c r="I19" s="1">
        <f t="shared" si="4"/>
        <v>2.506275797847397E-2</v>
      </c>
      <c r="J19" s="26">
        <f t="shared" si="5"/>
        <v>8.6819940393038329E-3</v>
      </c>
      <c r="L19" s="1">
        <f t="shared" si="0"/>
        <v>2.506275797847397E-2</v>
      </c>
      <c r="M19" s="1">
        <f t="shared" si="1"/>
        <v>57.156909234145182</v>
      </c>
      <c r="O19" s="1">
        <f t="shared" si="6"/>
        <v>2.506275797847397E-2</v>
      </c>
      <c r="P19" s="1">
        <v>0</v>
      </c>
      <c r="Q19" s="1">
        <f t="shared" si="7"/>
        <v>8.6819940393038329E-3</v>
      </c>
      <c r="R19" s="1">
        <f t="shared" si="8"/>
        <v>0</v>
      </c>
      <c r="S19" s="1"/>
      <c r="T19" s="4">
        <f t="shared" si="12"/>
        <v>8.6819940393038329E-3</v>
      </c>
      <c r="U19" s="4">
        <v>0</v>
      </c>
      <c r="W19" s="26">
        <f t="shared" si="9"/>
        <v>0.15271918543809085</v>
      </c>
      <c r="X19" s="26">
        <f t="shared" si="2"/>
        <v>0</v>
      </c>
      <c r="AC19">
        <v>170</v>
      </c>
      <c r="AD19">
        <f t="shared" si="13"/>
        <v>176.02348406482349</v>
      </c>
    </row>
    <row r="20" spans="1:30" x14ac:dyDescent="0.35">
      <c r="A20" s="41" t="s">
        <v>25</v>
      </c>
      <c r="B20" s="5" t="s">
        <v>16</v>
      </c>
      <c r="C20" s="8">
        <f>C21/SQRT(3)+C23</f>
        <v>248.52876019467755</v>
      </c>
      <c r="E20" s="3">
        <f t="shared" si="10"/>
        <v>18</v>
      </c>
      <c r="F20" s="1">
        <f t="shared" si="11"/>
        <v>234.94070734016782</v>
      </c>
      <c r="G20" s="1">
        <f t="shared" si="3"/>
        <v>60.519080365565465</v>
      </c>
      <c r="I20" s="1">
        <f t="shared" si="4"/>
        <v>2.6424317149133191E-2</v>
      </c>
      <c r="J20" s="26">
        <f t="shared" si="5"/>
        <v>9.153651971522455E-3</v>
      </c>
      <c r="L20" s="1">
        <f t="shared" si="0"/>
        <v>2.6424317149133191E-2</v>
      </c>
      <c r="M20" s="1">
        <f t="shared" si="1"/>
        <v>60.519080365565465</v>
      </c>
      <c r="O20" s="1">
        <f t="shared" si="6"/>
        <v>2.6424317149133191E-2</v>
      </c>
      <c r="P20" s="1">
        <v>0</v>
      </c>
      <c r="Q20" s="1">
        <f t="shared" si="7"/>
        <v>9.153651971522455E-3</v>
      </c>
      <c r="R20" s="1">
        <f t="shared" si="8"/>
        <v>0</v>
      </c>
      <c r="S20" s="1"/>
      <c r="T20" s="4">
        <f t="shared" si="12"/>
        <v>9.153651971522455E-3</v>
      </c>
      <c r="U20" s="4">
        <v>0</v>
      </c>
      <c r="W20" s="26">
        <f t="shared" si="9"/>
        <v>0.1610158065700282</v>
      </c>
      <c r="X20" s="26">
        <f t="shared" si="2"/>
        <v>0</v>
      </c>
      <c r="AC20">
        <v>180</v>
      </c>
      <c r="AD20">
        <f t="shared" si="13"/>
        <v>178.36121573278001</v>
      </c>
    </row>
    <row r="21" spans="1:30" x14ac:dyDescent="0.35">
      <c r="A21" s="41"/>
      <c r="B21" s="5" t="s">
        <v>17</v>
      </c>
      <c r="C21" s="8">
        <f>(-C30+SQRT(C30*C30-4*C29*C31))/(2*C29)</f>
        <v>84.054278285507635</v>
      </c>
      <c r="E21" s="3">
        <f t="shared" si="10"/>
        <v>19</v>
      </c>
      <c r="F21" s="1">
        <f t="shared" si="11"/>
        <v>236.88185774795494</v>
      </c>
      <c r="G21" s="1">
        <f t="shared" si="3"/>
        <v>63.881251496985804</v>
      </c>
      <c r="I21" s="1">
        <f t="shared" si="4"/>
        <v>2.7774672866278129E-2</v>
      </c>
      <c r="J21" s="26">
        <f t="shared" si="5"/>
        <v>9.6214289135996937E-3</v>
      </c>
      <c r="L21" s="1">
        <f t="shared" si="0"/>
        <v>2.7774672866278129E-2</v>
      </c>
      <c r="M21" s="1">
        <f t="shared" si="1"/>
        <v>63.881251496985804</v>
      </c>
      <c r="O21" s="1">
        <f t="shared" si="6"/>
        <v>2.7774672866278129E-2</v>
      </c>
      <c r="P21" s="1">
        <v>0</v>
      </c>
      <c r="Q21" s="1">
        <f t="shared" si="7"/>
        <v>9.6214289135996937E-3</v>
      </c>
      <c r="R21" s="1">
        <f t="shared" si="8"/>
        <v>0</v>
      </c>
      <c r="S21" s="1"/>
      <c r="T21" s="4">
        <f t="shared" si="12"/>
        <v>9.6214289135996937E-3</v>
      </c>
      <c r="U21" s="4">
        <v>0</v>
      </c>
      <c r="W21" s="26">
        <f t="shared" si="9"/>
        <v>0.16924415978443372</v>
      </c>
      <c r="X21" s="26">
        <f t="shared" si="2"/>
        <v>0</v>
      </c>
      <c r="AC21">
        <v>190</v>
      </c>
      <c r="AD21">
        <f t="shared" si="13"/>
        <v>180.36274218451345</v>
      </c>
    </row>
    <row r="22" spans="1:30" x14ac:dyDescent="0.35">
      <c r="A22" s="31"/>
      <c r="B22" s="32"/>
      <c r="C22" s="33"/>
      <c r="E22" s="3">
        <f t="shared" si="10"/>
        <v>20</v>
      </c>
      <c r="F22" s="1">
        <f t="shared" si="11"/>
        <v>238.82300815574203</v>
      </c>
      <c r="G22" s="1">
        <f t="shared" si="3"/>
        <v>67.243422628406094</v>
      </c>
      <c r="I22" s="1">
        <f t="shared" si="4"/>
        <v>2.9114007999204793E-2</v>
      </c>
      <c r="J22" s="26">
        <f t="shared" si="5"/>
        <v>1.0085388213317883E-2</v>
      </c>
      <c r="L22" s="1">
        <f t="shared" si="0"/>
        <v>2.9114007999204793E-2</v>
      </c>
      <c r="M22" s="1">
        <f t="shared" si="1"/>
        <v>67.243422628406094</v>
      </c>
      <c r="O22" s="1">
        <f t="shared" si="6"/>
        <v>2.9114007999204793E-2</v>
      </c>
      <c r="P22" s="1">
        <v>0</v>
      </c>
      <c r="Q22" s="1">
        <f t="shared" si="7"/>
        <v>1.0085388213317883E-2</v>
      </c>
      <c r="R22" s="1">
        <f t="shared" si="8"/>
        <v>0</v>
      </c>
      <c r="S22" s="1"/>
      <c r="T22" s="4">
        <f t="shared" si="12"/>
        <v>1.0085388213317883E-2</v>
      </c>
      <c r="U22" s="4">
        <v>0</v>
      </c>
      <c r="W22" s="26">
        <f t="shared" si="9"/>
        <v>0.17740535939003402</v>
      </c>
      <c r="X22" s="26">
        <f t="shared" si="2"/>
        <v>0</v>
      </c>
      <c r="AC22">
        <v>200</v>
      </c>
      <c r="AD22">
        <f t="shared" si="13"/>
        <v>182.03915351990926</v>
      </c>
    </row>
    <row r="23" spans="1:30" ht="13.15" thickBot="1" x14ac:dyDescent="0.4">
      <c r="A23" s="12" t="s">
        <v>21</v>
      </c>
      <c r="B23" s="17" t="s">
        <v>40</v>
      </c>
      <c r="C23" s="14">
        <f>C4-C5/SQRT(3)</f>
        <v>200</v>
      </c>
      <c r="E23" s="3">
        <f t="shared" si="10"/>
        <v>21</v>
      </c>
      <c r="F23" s="1">
        <f t="shared" si="11"/>
        <v>240.76415856352912</v>
      </c>
      <c r="G23" s="1">
        <f t="shared" si="3"/>
        <v>70.605593759826377</v>
      </c>
      <c r="I23" s="1">
        <f t="shared" si="4"/>
        <v>3.0442500976081213E-2</v>
      </c>
      <c r="J23" s="26">
        <f t="shared" si="5"/>
        <v>1.0545591680007561E-2</v>
      </c>
      <c r="L23" s="1">
        <f t="shared" si="0"/>
        <v>3.0442500976081213E-2</v>
      </c>
      <c r="M23" s="1">
        <f t="shared" si="1"/>
        <v>70.605593759826377</v>
      </c>
      <c r="O23" s="1">
        <f t="shared" si="6"/>
        <v>3.0442500976081213E-2</v>
      </c>
      <c r="P23" s="1">
        <v>0</v>
      </c>
      <c r="Q23" s="1">
        <f t="shared" si="7"/>
        <v>1.0545591680007561E-2</v>
      </c>
      <c r="R23" s="1">
        <f t="shared" si="8"/>
        <v>0</v>
      </c>
      <c r="S23" s="1"/>
      <c r="T23" s="4">
        <f t="shared" si="12"/>
        <v>1.0545591680007561E-2</v>
      </c>
      <c r="U23" s="4">
        <v>0</v>
      </c>
      <c r="W23" s="26">
        <f t="shared" si="9"/>
        <v>0.18550049263367174</v>
      </c>
      <c r="X23" s="26">
        <f t="shared" si="2"/>
        <v>0</v>
      </c>
      <c r="AC23">
        <v>210</v>
      </c>
      <c r="AD23">
        <f t="shared" si="13"/>
        <v>183.39936536274809</v>
      </c>
    </row>
    <row r="24" spans="1:30" ht="13.15" thickBot="1" x14ac:dyDescent="0.4">
      <c r="E24" s="3">
        <f t="shared" si="10"/>
        <v>22</v>
      </c>
      <c r="F24" s="1">
        <f t="shared" si="11"/>
        <v>242.70530897131624</v>
      </c>
      <c r="G24" s="1">
        <f t="shared" si="3"/>
        <v>73.967764891246716</v>
      </c>
      <c r="I24" s="1">
        <f t="shared" si="4"/>
        <v>3.1760325926602016E-2</v>
      </c>
      <c r="J24" s="26">
        <f t="shared" si="5"/>
        <v>1.1002099633964367E-2</v>
      </c>
      <c r="L24" s="1">
        <f t="shared" si="0"/>
        <v>3.1760325926602016E-2</v>
      </c>
      <c r="M24" s="1">
        <f t="shared" si="1"/>
        <v>73.967764891246716</v>
      </c>
      <c r="O24" s="1">
        <f t="shared" si="6"/>
        <v>3.1760325926602016E-2</v>
      </c>
      <c r="P24" s="1">
        <v>0</v>
      </c>
      <c r="Q24" s="1">
        <f t="shared" si="7"/>
        <v>1.1002099633964367E-2</v>
      </c>
      <c r="R24" s="1">
        <f t="shared" si="8"/>
        <v>0</v>
      </c>
      <c r="S24" s="1"/>
      <c r="T24" s="4">
        <f t="shared" si="12"/>
        <v>1.1002099633964367E-2</v>
      </c>
      <c r="U24" s="4">
        <v>0</v>
      </c>
      <c r="W24" s="26">
        <f t="shared" si="9"/>
        <v>0.19353062056956716</v>
      </c>
      <c r="X24" s="26">
        <f t="shared" si="2"/>
        <v>0</v>
      </c>
      <c r="AC24">
        <v>220</v>
      </c>
      <c r="AD24">
        <f t="shared" si="13"/>
        <v>184.45037319549749</v>
      </c>
    </row>
    <row r="25" spans="1:30" x14ac:dyDescent="0.35">
      <c r="A25" s="28" t="s">
        <v>31</v>
      </c>
      <c r="B25" s="29"/>
      <c r="C25" s="30"/>
      <c r="E25" s="3">
        <f t="shared" si="10"/>
        <v>23</v>
      </c>
      <c r="F25" s="1">
        <f t="shared" si="11"/>
        <v>244.64645937910333</v>
      </c>
      <c r="G25" s="1">
        <f t="shared" si="3"/>
        <v>77.329936022666999</v>
      </c>
      <c r="I25" s="1">
        <f t="shared" si="4"/>
        <v>3.3067652818960597E-2</v>
      </c>
      <c r="J25" s="26">
        <f t="shared" si="5"/>
        <v>1.1454970953897593E-2</v>
      </c>
      <c r="L25" s="1">
        <f t="shared" si="0"/>
        <v>3.3067652818960597E-2</v>
      </c>
      <c r="M25" s="1">
        <f t="shared" si="1"/>
        <v>77.329936022666999</v>
      </c>
      <c r="O25" s="1">
        <f t="shared" si="6"/>
        <v>3.3067652818960597E-2</v>
      </c>
      <c r="P25" s="1">
        <v>0</v>
      </c>
      <c r="Q25" s="1">
        <f t="shared" si="7"/>
        <v>1.1454970953897593E-2</v>
      </c>
      <c r="R25" s="1">
        <f t="shared" si="8"/>
        <v>0</v>
      </c>
      <c r="S25" s="1"/>
      <c r="T25" s="4">
        <f t="shared" si="12"/>
        <v>1.1454970953897593E-2</v>
      </c>
      <c r="U25" s="4">
        <v>0</v>
      </c>
      <c r="W25" s="26">
        <f t="shared" si="9"/>
        <v>0.20149677889395398</v>
      </c>
      <c r="X25" s="26">
        <f t="shared" si="2"/>
        <v>0</v>
      </c>
      <c r="AC25">
        <v>230</v>
      </c>
      <c r="AD25">
        <f t="shared" si="13"/>
        <v>185.19744135312365</v>
      </c>
    </row>
    <row r="26" spans="1:30" x14ac:dyDescent="0.35">
      <c r="A26" s="41" t="s">
        <v>37</v>
      </c>
      <c r="B26" s="6" t="s">
        <v>38</v>
      </c>
      <c r="C26" s="19">
        <f>(2*(1+C13)*C9)/(SQRT(3)*C15*(1-2*C13))</f>
        <v>0.16411008156296045</v>
      </c>
      <c r="E26" s="3">
        <f t="shared" si="10"/>
        <v>24</v>
      </c>
      <c r="F26" s="1">
        <f t="shared" si="11"/>
        <v>246.58760978689043</v>
      </c>
      <c r="G26" s="1">
        <f t="shared" si="3"/>
        <v>80.692107154087282</v>
      </c>
      <c r="I26" s="1">
        <f t="shared" si="4"/>
        <v>3.4364647591408497E-2</v>
      </c>
      <c r="J26" s="26">
        <f t="shared" si="5"/>
        <v>1.1904263122503794E-2</v>
      </c>
      <c r="L26" s="1">
        <f t="shared" si="0"/>
        <v>3.4364647591408497E-2</v>
      </c>
      <c r="M26" s="1">
        <f t="shared" si="1"/>
        <v>80.692107154087282</v>
      </c>
      <c r="O26" s="1">
        <f t="shared" si="6"/>
        <v>3.4364647591408497E-2</v>
      </c>
      <c r="P26" s="1">
        <v>0</v>
      </c>
      <c r="Q26" s="1">
        <f t="shared" si="7"/>
        <v>1.1904263122503794E-2</v>
      </c>
      <c r="R26" s="1">
        <f t="shared" si="8"/>
        <v>0</v>
      </c>
      <c r="S26" s="1"/>
      <c r="T26" s="4">
        <f t="shared" si="12"/>
        <v>1.1904263122503794E-2</v>
      </c>
      <c r="U26" s="4">
        <v>0</v>
      </c>
      <c r="W26" s="26">
        <f t="shared" si="9"/>
        <v>0.20939997874673277</v>
      </c>
      <c r="X26" s="26">
        <f t="shared" si="2"/>
        <v>0</v>
      </c>
      <c r="AC26">
        <v>240</v>
      </c>
      <c r="AD26">
        <f t="shared" si="13"/>
        <v>185.64423920718605</v>
      </c>
    </row>
    <row r="27" spans="1:30" ht="13.15" thickBot="1" x14ac:dyDescent="0.4">
      <c r="A27" s="42"/>
      <c r="B27" s="13" t="s">
        <v>39</v>
      </c>
      <c r="C27" s="20">
        <f>(C10-C9)/C15</f>
        <v>0.17054819958079201</v>
      </c>
      <c r="D27" s="25" t="s">
        <v>48</v>
      </c>
      <c r="E27" s="3">
        <f t="shared" si="10"/>
        <v>25</v>
      </c>
      <c r="F27" s="1">
        <f>$F$2+($C$20-$F$2)/25*E27</f>
        <v>248.52876019467755</v>
      </c>
      <c r="G27" s="1">
        <f t="shared" si="3"/>
        <v>84.054278285507621</v>
      </c>
      <c r="I27" s="1">
        <f t="shared" si="4"/>
        <v>3.5651472278657094E-2</v>
      </c>
      <c r="J27" s="26">
        <f t="shared" si="5"/>
        <v>1.2350032270253492E-2</v>
      </c>
      <c r="L27" s="1">
        <f t="shared" si="0"/>
        <v>3.5651472278657094E-2</v>
      </c>
      <c r="M27" s="1">
        <f t="shared" si="1"/>
        <v>84.054278285507621</v>
      </c>
      <c r="O27" s="1">
        <f t="shared" si="6"/>
        <v>3.5651472278657094E-2</v>
      </c>
      <c r="P27" s="1">
        <v>0</v>
      </c>
      <c r="Q27" s="1">
        <f t="shared" si="7"/>
        <v>1.2350032270253492E-2</v>
      </c>
      <c r="R27" s="1">
        <f t="shared" si="8"/>
        <v>0</v>
      </c>
      <c r="S27" s="1"/>
      <c r="T27" s="4">
        <f t="shared" si="12"/>
        <v>1.2350032270253492E-2</v>
      </c>
      <c r="U27" s="4">
        <f>-LN(SQRT(3)*$C$23+G27)+LN((3+$C$14*$C$14)*G27*G27+2*SQRT(3)*$C$14*$C$14*$C$23*G27+3*$C$14*$C$14*$C$23*$C$23)</f>
        <v>5.659432364126201</v>
      </c>
      <c r="W27" s="26">
        <f t="shared" si="9"/>
        <v>0.21724120748169568</v>
      </c>
      <c r="X27" s="26">
        <f>-2*($C$10-$C$9)*ATAN((G27*(3+$C$14*$C$14))/(3*$C$14*$C$23)+$C$14/SQRT(3))/(SQRT(3)*$C$15*$C$14)</f>
        <v>-0.22057368737883354</v>
      </c>
      <c r="Y27" s="26">
        <f>($C$10-$C$9)/$C$15*(LN(3*ABS(SQRT(3)*$C$14*$C$23+G27*($C$14-SQRT(3)))))/($C$14*($C$14-SQRT(3)))</f>
        <v>-1.452632787703348</v>
      </c>
      <c r="Z27" s="26">
        <f>($C$10-$C$9)/$C$15*(LN(3*ABS(SQRT(3)*$C$14*$C$23+G27*($C$14+SQRT(3)))))/($C$14*($C$14+SQRT(3)))</f>
        <v>0.67140580220934798</v>
      </c>
      <c r="AA27" s="26">
        <f>SUM(X27:Z27)</f>
        <v>-1.0018006728728337</v>
      </c>
      <c r="AC27">
        <v>250</v>
      </c>
      <c r="AD27">
        <f t="shared" si="13"/>
        <v>185.79293305497919</v>
      </c>
    </row>
    <row r="28" spans="1:30" ht="13.15" thickBot="1" x14ac:dyDescent="0.4">
      <c r="E28" s="3">
        <f t="shared" si="10"/>
        <v>26</v>
      </c>
      <c r="F28" s="1">
        <f>$F$27+($C$17-$F$27)/25*(E28-25)</f>
        <v>252.59984526235675</v>
      </c>
      <c r="G28" s="1">
        <f t="shared" si="3"/>
        <v>91.105604464662989</v>
      </c>
      <c r="I28" s="1">
        <f>W28*$C$26+(AA28-$AA$27)*SQRT(3)</f>
        <v>4.9275915593615743E-2</v>
      </c>
      <c r="J28" s="26">
        <f>T28+$C$27*(U28-$U$27)</f>
        <v>2.0014452757572063E-2</v>
      </c>
      <c r="L28" s="1">
        <f t="shared" si="0"/>
        <v>4.9275915593615743E-2</v>
      </c>
      <c r="M28" s="1">
        <f t="shared" si="1"/>
        <v>91.105604464662989</v>
      </c>
      <c r="O28" s="1">
        <f t="shared" si="6"/>
        <v>3.8317936708760957E-2</v>
      </c>
      <c r="P28" s="1">
        <f>(AA28-$AA$27)*SQRT(3)</f>
        <v>1.0957978884854787E-2</v>
      </c>
      <c r="Q28" s="1">
        <f t="shared" si="7"/>
        <v>1.3273722644156508E-2</v>
      </c>
      <c r="R28" s="1">
        <f>$C$27*(U28-$U$27)</f>
        <v>6.7407301134155559E-3</v>
      </c>
      <c r="S28" s="1"/>
      <c r="T28" s="4">
        <f t="shared" si="12"/>
        <v>1.3273722644156508E-2</v>
      </c>
      <c r="U28" s="4">
        <f t="shared" ref="U28:U52" si="14">-LN(SQRT(3)*$C$23+G28)+LN((3+$C$14*$C$14)*G28*G28+2*SQRT(3)*$C$14*$C$14*$C$23*G28+3*$C$14*$C$14*$C$23*$C$23)</f>
        <v>5.6989562648767471</v>
      </c>
      <c r="W28" s="26">
        <f t="shared" si="9"/>
        <v>0.23348923078842276</v>
      </c>
      <c r="X28" s="26">
        <f t="shared" ref="X28:X52" si="15">-2*($C$10-$C$9)*ATAN((G28*(3+$C$14*$C$14))/(3*$C$14*$C$23)+$C$14/SQRT(3))/(SQRT(3)*$C$15*$C$14)</f>
        <v>-0.2271332467954319</v>
      </c>
      <c r="Y28" s="26">
        <f>($C$10-$C$9)/$C$15*(LN(3*ABS(SQRT(3)*$C$14*$C$23+G28*($C$14-SQRT(3)))))/($C$14*($C$14-SQRT(3)))</f>
        <v>-1.4431593197653183</v>
      </c>
      <c r="Z28" s="26">
        <f>($C$10-$C$9)/$C$15*(LN(3*ABS(SQRT(3)*$C$14*$C$23+G28*($C$14+SQRT(3)))))/($C$14*($C$14+SQRT(3)))</f>
        <v>0.67481848574686165</v>
      </c>
      <c r="AA28" s="26">
        <f t="shared" ref="AA28:AA52" si="16">SUM(X28:Z28)</f>
        <v>-0.99547408081388855</v>
      </c>
      <c r="AC28">
        <v>260</v>
      </c>
      <c r="AD28">
        <f t="shared" si="13"/>
        <v>185.64423920718602</v>
      </c>
    </row>
    <row r="29" spans="1:30" x14ac:dyDescent="0.35">
      <c r="A29" s="35" t="s">
        <v>47</v>
      </c>
      <c r="B29" s="21" t="s">
        <v>44</v>
      </c>
      <c r="C29" s="22">
        <f>1+(C14^2)/3</f>
        <v>1.1841014078569172</v>
      </c>
      <c r="E29" s="3">
        <f t="shared" si="10"/>
        <v>27</v>
      </c>
      <c r="F29" s="1">
        <f t="shared" ref="F29:F51" si="17">$F$27+($C$17-$F$27)/25*(E29-25)</f>
        <v>256.67093033003596</v>
      </c>
      <c r="G29" s="1">
        <f t="shared" si="3"/>
        <v>98.156930643818356</v>
      </c>
      <c r="I29" s="1">
        <f t="shared" ref="I29:I52" si="18">W29*$C$26+(AA29-$AA$27)*SQRT(3)</f>
        <v>6.3960648159492567E-2</v>
      </c>
      <c r="J29" s="26">
        <f t="shared" ref="J29:J52" si="19">T29+$C$27*(U29-$U$27)</f>
        <v>2.76427555471551E-2</v>
      </c>
      <c r="L29" s="1">
        <f t="shared" si="0"/>
        <v>6.3960648159492567E-2</v>
      </c>
      <c r="M29" s="1">
        <f t="shared" si="1"/>
        <v>98.156930643818356</v>
      </c>
      <c r="O29" s="1">
        <f t="shared" si="6"/>
        <v>4.0941768141678124E-2</v>
      </c>
      <c r="P29" s="1">
        <f t="shared" ref="P29:P51" si="20">(AA29-$AA$27)*SQRT(3)</f>
        <v>2.3018880017814443E-2</v>
      </c>
      <c r="Q29" s="1">
        <f t="shared" si="7"/>
        <v>1.4182644514618255E-2</v>
      </c>
      <c r="R29" s="1">
        <f t="shared" ref="R29:R52" si="21">$C$27*(U29-$U$27)</f>
        <v>1.3460111032536845E-2</v>
      </c>
      <c r="S29" s="1"/>
      <c r="T29" s="4">
        <f t="shared" si="12"/>
        <v>1.4182644514618255E-2</v>
      </c>
      <c r="U29" s="4">
        <f t="shared" si="14"/>
        <v>5.7383549857992637</v>
      </c>
      <c r="W29" s="26">
        <f t="shared" si="9"/>
        <v>0.24947747116907568</v>
      </c>
      <c r="X29" s="26">
        <f t="shared" si="15"/>
        <v>-0.23333810923643772</v>
      </c>
      <c r="Y29" s="26">
        <f t="shared" ref="Y29:Y52" si="22">($C$10-$C$9)/$C$15*(LN(3*ABS(SQRT(3)*$C$14*$C$23+G29*($C$14-SQRT(3)))))/($C$14*($C$14-SQRT(3)))</f>
        <v>-1.4332826063075441</v>
      </c>
      <c r="Z29" s="26">
        <f t="shared" ref="Z29:Z52" si="23">($C$10-$C$9)/$C$15*(LN(3*ABS(SQRT(3)*$C$14*$C$23+G29*($C$14+SQRT(3)))))/($C$14*($C$14+SQRT(3)))</f>
        <v>0.678109999245877</v>
      </c>
      <c r="AA29" s="26">
        <f t="shared" si="16"/>
        <v>-0.98851071629810483</v>
      </c>
      <c r="AC29">
        <v>270</v>
      </c>
      <c r="AD29">
        <f t="shared" si="13"/>
        <v>185.19744135312365</v>
      </c>
    </row>
    <row r="30" spans="1:30" x14ac:dyDescent="0.35">
      <c r="A30" s="36"/>
      <c r="B30" s="6" t="s">
        <v>45</v>
      </c>
      <c r="C30" s="23">
        <f>(2*C23*C14*C14-C7*C14*C14)/SQRT(3)</f>
        <v>31.887299215314069</v>
      </c>
      <c r="E30" s="3">
        <f t="shared" si="10"/>
        <v>28</v>
      </c>
      <c r="F30" s="1">
        <f t="shared" si="17"/>
        <v>260.74201539771514</v>
      </c>
      <c r="G30" s="1">
        <f t="shared" si="3"/>
        <v>105.20825682297368</v>
      </c>
      <c r="I30" s="1">
        <f t="shared" si="18"/>
        <v>7.9745876097266688E-2</v>
      </c>
      <c r="J30" s="26">
        <f t="shared" si="19"/>
        <v>3.5217374804890747E-2</v>
      </c>
      <c r="L30" s="1">
        <f t="shared" si="0"/>
        <v>7.9745876097266688E-2</v>
      </c>
      <c r="M30" s="1">
        <f t="shared" si="1"/>
        <v>105.20825682297368</v>
      </c>
      <c r="O30" s="1">
        <f t="shared" si="6"/>
        <v>4.352430843388036E-2</v>
      </c>
      <c r="P30" s="1">
        <f t="shared" si="20"/>
        <v>3.6221567663386328E-2</v>
      </c>
      <c r="Q30" s="1">
        <f t="shared" si="7"/>
        <v>1.5077262714355874E-2</v>
      </c>
      <c r="R30" s="1">
        <f t="shared" si="21"/>
        <v>2.0140112090534876E-2</v>
      </c>
      <c r="S30" s="1"/>
      <c r="T30" s="4">
        <f t="shared" si="12"/>
        <v>1.5077262714355874E-2</v>
      </c>
      <c r="U30" s="4">
        <f t="shared" si="14"/>
        <v>5.7775228050692267</v>
      </c>
      <c r="W30" s="26">
        <f t="shared" si="9"/>
        <v>0.26521410518696475</v>
      </c>
      <c r="X30" s="26">
        <f t="shared" si="15"/>
        <v>-0.23921000768792003</v>
      </c>
      <c r="Y30" s="26">
        <f t="shared" si="22"/>
        <v>-1.4229667863077458</v>
      </c>
      <c r="Z30" s="26">
        <f t="shared" si="23"/>
        <v>0.6812886529637584</v>
      </c>
      <c r="AA30" s="26">
        <f t="shared" si="16"/>
        <v>-0.98088814103190736</v>
      </c>
      <c r="AC30">
        <v>280</v>
      </c>
      <c r="AD30">
        <f t="shared" si="13"/>
        <v>184.45037319549749</v>
      </c>
    </row>
    <row r="31" spans="1:30" ht="13.15" thickBot="1" x14ac:dyDescent="0.4">
      <c r="A31" s="37"/>
      <c r="B31" s="13" t="s">
        <v>46</v>
      </c>
      <c r="C31" s="24">
        <f>C23*C23*C14*C14-C7*C23*C14*C14</f>
        <v>-11046.084471415033</v>
      </c>
      <c r="E31" s="3">
        <f t="shared" si="10"/>
        <v>29</v>
      </c>
      <c r="F31" s="1">
        <f t="shared" si="17"/>
        <v>264.81310046539437</v>
      </c>
      <c r="G31" s="1">
        <f t="shared" si="3"/>
        <v>112.25958300212909</v>
      </c>
      <c r="I31" s="1">
        <f t="shared" si="18"/>
        <v>9.6680642398132829E-2</v>
      </c>
      <c r="J31" s="26">
        <f t="shared" si="19"/>
        <v>4.2723905389171209E-2</v>
      </c>
      <c r="L31" s="1">
        <f t="shared" si="0"/>
        <v>9.6680642398132829E-2</v>
      </c>
      <c r="M31" s="1">
        <f t="shared" si="1"/>
        <v>112.25958300212909</v>
      </c>
      <c r="O31" s="1">
        <f t="shared" si="6"/>
        <v>4.6066837070537651E-2</v>
      </c>
      <c r="P31" s="1">
        <f t="shared" si="20"/>
        <v>5.0613805327595178E-2</v>
      </c>
      <c r="Q31" s="1">
        <f t="shared" si="7"/>
        <v>1.5958020470033727E-2</v>
      </c>
      <c r="R31" s="1">
        <f t="shared" si="21"/>
        <v>2.6765884919137482E-2</v>
      </c>
      <c r="S31" s="1"/>
      <c r="T31" s="4">
        <f t="shared" si="12"/>
        <v>1.5958020470033727E-2</v>
      </c>
      <c r="U31" s="4">
        <f t="shared" si="14"/>
        <v>5.8163726600948955</v>
      </c>
      <c r="W31" s="26">
        <f t="shared" si="9"/>
        <v>0.28070692934769043</v>
      </c>
      <c r="X31" s="26">
        <f t="shared" si="15"/>
        <v>-0.24476971775280545</v>
      </c>
      <c r="Y31" s="26">
        <f t="shared" si="22"/>
        <v>-1.4121709914973</v>
      </c>
      <c r="Z31" s="26">
        <f t="shared" si="23"/>
        <v>0.68436193050787009</v>
      </c>
      <c r="AA31" s="26">
        <f t="shared" si="16"/>
        <v>-0.97257877874223531</v>
      </c>
      <c r="AC31">
        <v>290</v>
      </c>
      <c r="AD31">
        <f t="shared" si="13"/>
        <v>183.39936536274811</v>
      </c>
    </row>
    <row r="32" spans="1:30" x14ac:dyDescent="0.35">
      <c r="C32" s="2"/>
      <c r="E32" s="3">
        <f t="shared" si="10"/>
        <v>30</v>
      </c>
      <c r="F32" s="1">
        <f t="shared" si="17"/>
        <v>268.88418553307355</v>
      </c>
      <c r="G32" s="1">
        <f t="shared" si="3"/>
        <v>119.3109091812844</v>
      </c>
      <c r="I32" s="1">
        <f t="shared" si="18"/>
        <v>0.11482486395793207</v>
      </c>
      <c r="J32" s="26">
        <f t="shared" si="19"/>
        <v>5.0150667307904281E-2</v>
      </c>
      <c r="L32" s="1">
        <f t="shared" ref="L32:L52" si="24">I32</f>
        <v>0.11482486395793207</v>
      </c>
      <c r="M32" s="1">
        <f t="shared" ref="M32:M52" si="25">G32</f>
        <v>119.3109091812844</v>
      </c>
      <c r="O32" s="1">
        <f t="shared" si="6"/>
        <v>4.8570574972084571E-2</v>
      </c>
      <c r="P32" s="1">
        <f t="shared" si="20"/>
        <v>6.6254288985847495E-2</v>
      </c>
      <c r="Q32" s="1">
        <f t="shared" si="7"/>
        <v>1.6825340720896757E-2</v>
      </c>
      <c r="R32" s="1">
        <f t="shared" si="21"/>
        <v>3.3325326587007521E-2</v>
      </c>
      <c r="S32" s="1"/>
      <c r="T32" s="4">
        <f t="shared" si="12"/>
        <v>1.6825340720896757E-2</v>
      </c>
      <c r="U32" s="4">
        <f t="shared" si="14"/>
        <v>5.854833586003191</v>
      </c>
      <c r="W32" s="26">
        <f t="shared" si="9"/>
        <v>0.2959633832943443</v>
      </c>
      <c r="X32" s="26">
        <f t="shared" si="15"/>
        <v>-0.25003696780644896</v>
      </c>
      <c r="Y32" s="26">
        <f t="shared" si="22"/>
        <v>-1.4008483684510162</v>
      </c>
      <c r="Z32" s="26">
        <f t="shared" si="23"/>
        <v>0.68733659496557775</v>
      </c>
      <c r="AA32" s="26">
        <f t="shared" si="16"/>
        <v>-0.96354874129188739</v>
      </c>
      <c r="AC32">
        <v>300</v>
      </c>
      <c r="AD32">
        <f t="shared" si="13"/>
        <v>182.03915351990929</v>
      </c>
    </row>
    <row r="33" spans="1:30" x14ac:dyDescent="0.35">
      <c r="A33" s="34" t="s">
        <v>56</v>
      </c>
      <c r="B33" s="34"/>
      <c r="C33" s="34"/>
      <c r="D33" s="27"/>
      <c r="E33" s="3">
        <f t="shared" si="10"/>
        <v>31</v>
      </c>
      <c r="F33" s="1">
        <f t="shared" si="17"/>
        <v>272.95527060075273</v>
      </c>
      <c r="G33" s="1">
        <f t="shared" si="3"/>
        <v>126.36223536043973</v>
      </c>
      <c r="I33" s="1">
        <f t="shared" si="18"/>
        <v>0.13425169899726636</v>
      </c>
      <c r="J33" s="26">
        <f t="shared" si="19"/>
        <v>5.7488316862921919E-2</v>
      </c>
      <c r="L33" s="1">
        <f t="shared" si="24"/>
        <v>0.13425169899726636</v>
      </c>
      <c r="M33" s="1">
        <f t="shared" si="25"/>
        <v>126.36223536043973</v>
      </c>
      <c r="O33" s="1">
        <f t="shared" si="6"/>
        <v>5.1036688014749171E-2</v>
      </c>
      <c r="P33" s="1">
        <f t="shared" si="20"/>
        <v>8.3215010982517185E-2</v>
      </c>
      <c r="Q33" s="1">
        <f t="shared" si="7"/>
        <v>1.7679627338317419E-2</v>
      </c>
      <c r="R33" s="1">
        <f t="shared" si="21"/>
        <v>3.98086895246045E-2</v>
      </c>
      <c r="T33" s="4">
        <f t="shared" si="12"/>
        <v>1.7679627338317419E-2</v>
      </c>
      <c r="U33" s="4">
        <f t="shared" si="14"/>
        <v>5.8928484284555482</v>
      </c>
      <c r="W33" s="26">
        <f t="shared" si="9"/>
        <v>0.3109905712597496</v>
      </c>
      <c r="X33" s="26">
        <f t="shared" si="15"/>
        <v>-0.25503039277554707</v>
      </c>
      <c r="Y33" s="26">
        <f t="shared" si="22"/>
        <v>-1.3889448496365377</v>
      </c>
      <c r="Z33" s="26">
        <f t="shared" si="23"/>
        <v>0.69021877853062508</v>
      </c>
      <c r="AA33" s="26">
        <f t="shared" si="16"/>
        <v>-0.95375646388145974</v>
      </c>
      <c r="AC33">
        <v>310</v>
      </c>
      <c r="AD33">
        <f t="shared" si="13"/>
        <v>180.36274218451345</v>
      </c>
    </row>
    <row r="34" spans="1:30" x14ac:dyDescent="0.35">
      <c r="D34" s="27"/>
      <c r="E34" s="3">
        <f t="shared" si="10"/>
        <v>32</v>
      </c>
      <c r="F34" s="1">
        <f t="shared" si="17"/>
        <v>277.02635566843196</v>
      </c>
      <c r="G34" s="1">
        <f t="shared" si="3"/>
        <v>133.41356153959515</v>
      </c>
      <c r="I34" s="1">
        <f t="shared" si="18"/>
        <v>0.15505040987098848</v>
      </c>
      <c r="J34" s="26">
        <f t="shared" si="19"/>
        <v>6.472950319609086E-2</v>
      </c>
      <c r="L34" s="1">
        <f t="shared" si="24"/>
        <v>0.15505040987098848</v>
      </c>
      <c r="M34" s="1">
        <f t="shared" si="25"/>
        <v>133.41356153959515</v>
      </c>
      <c r="O34" s="1">
        <f t="shared" si="6"/>
        <v>5.3466290290454251E-2</v>
      </c>
      <c r="P34" s="1">
        <f t="shared" si="20"/>
        <v>0.10158411958053423</v>
      </c>
      <c r="Q34" s="1">
        <f t="shared" si="7"/>
        <v>1.852126625505867E-2</v>
      </c>
      <c r="R34" s="1">
        <f t="shared" si="21"/>
        <v>4.6208236941032189E-2</v>
      </c>
      <c r="T34" s="4">
        <f t="shared" si="12"/>
        <v>1.852126625505867E-2</v>
      </c>
      <c r="U34" s="4">
        <f t="shared" si="14"/>
        <v>5.9303718232035303</v>
      </c>
      <c r="W34" s="26">
        <f t="shared" si="9"/>
        <v>0.32579528193057433</v>
      </c>
      <c r="X34" s="26">
        <f t="shared" si="15"/>
        <v>-0.25976752081610266</v>
      </c>
      <c r="Y34" s="26">
        <f t="shared" si="22"/>
        <v>-1.3763975918843918</v>
      </c>
      <c r="Z34" s="26">
        <f t="shared" si="23"/>
        <v>0.69301405861287324</v>
      </c>
      <c r="AA34" s="26">
        <f t="shared" si="16"/>
        <v>-0.94315105408762112</v>
      </c>
      <c r="AC34">
        <v>320</v>
      </c>
      <c r="AD34">
        <f t="shared" si="13"/>
        <v>178.36121573278001</v>
      </c>
    </row>
    <row r="35" spans="1:30" x14ac:dyDescent="0.35">
      <c r="E35" s="3">
        <f t="shared" si="10"/>
        <v>33</v>
      </c>
      <c r="F35" s="1">
        <f t="shared" si="17"/>
        <v>281.09744073611114</v>
      </c>
      <c r="G35" s="1">
        <f t="shared" si="3"/>
        <v>140.46488771875045</v>
      </c>
      <c r="I35" s="1">
        <f t="shared" si="18"/>
        <v>0.17732993824729806</v>
      </c>
      <c r="J35" s="26">
        <f t="shared" si="19"/>
        <v>7.1868567540386341E-2</v>
      </c>
      <c r="L35" s="1">
        <f t="shared" si="24"/>
        <v>0.17732993824729806</v>
      </c>
      <c r="M35" s="1">
        <f t="shared" si="25"/>
        <v>140.46488771875045</v>
      </c>
      <c r="O35" s="1">
        <f t="shared" si="6"/>
        <v>5.5860447128908065E-2</v>
      </c>
      <c r="P35" s="1">
        <f t="shared" si="20"/>
        <v>0.12146949111838999</v>
      </c>
      <c r="Q35" s="1">
        <f t="shared" si="7"/>
        <v>1.9350626512156757E-2</v>
      </c>
      <c r="R35" s="1">
        <f t="shared" si="21"/>
        <v>5.2517941028229591E-2</v>
      </c>
      <c r="T35" s="4">
        <f t="shared" si="12"/>
        <v>1.9350626512156757E-2</v>
      </c>
      <c r="U35" s="4">
        <f t="shared" si="14"/>
        <v>5.9673684265256801</v>
      </c>
      <c r="W35" s="26">
        <f t="shared" si="9"/>
        <v>0.34038400686235315</v>
      </c>
      <c r="X35" s="26">
        <f t="shared" si="15"/>
        <v>-0.26426478421920929</v>
      </c>
      <c r="Y35" s="26">
        <f t="shared" si="22"/>
        <v>-1.3631329680641933</v>
      </c>
      <c r="Z35" s="26">
        <f t="shared" si="23"/>
        <v>0.69572752280609806</v>
      </c>
      <c r="AA35" s="26">
        <f t="shared" si="16"/>
        <v>-0.93167022947730438</v>
      </c>
      <c r="AC35">
        <v>330</v>
      </c>
      <c r="AD35">
        <f t="shared" si="13"/>
        <v>176.02348406482349</v>
      </c>
    </row>
    <row r="36" spans="1:30" x14ac:dyDescent="0.35">
      <c r="E36" s="3">
        <f t="shared" si="10"/>
        <v>34</v>
      </c>
      <c r="F36" s="1">
        <f t="shared" si="17"/>
        <v>285.16852580379037</v>
      </c>
      <c r="G36" s="1">
        <f t="shared" si="3"/>
        <v>147.51621389790589</v>
      </c>
      <c r="I36" s="1">
        <f t="shared" si="18"/>
        <v>0.20122348983418342</v>
      </c>
      <c r="J36" s="26">
        <f t="shared" si="19"/>
        <v>7.8901281696406311E-2</v>
      </c>
      <c r="K36" s="26"/>
      <c r="L36" s="1">
        <f t="shared" si="24"/>
        <v>0.20122348983418342</v>
      </c>
      <c r="M36" s="1">
        <f t="shared" si="25"/>
        <v>147.51621389790589</v>
      </c>
      <c r="O36" s="1">
        <f t="shared" si="6"/>
        <v>5.8220177902402741E-2</v>
      </c>
      <c r="P36" s="1">
        <f t="shared" si="20"/>
        <v>0.14300331193178067</v>
      </c>
      <c r="Q36" s="1">
        <f t="shared" si="7"/>
        <v>2.0168061230532077E-2</v>
      </c>
      <c r="R36" s="1">
        <f t="shared" si="21"/>
        <v>5.8733220465874231E-2</v>
      </c>
      <c r="T36" s="4">
        <f t="shared" si="12"/>
        <v>2.0168061230532077E-2</v>
      </c>
      <c r="U36" s="4">
        <f t="shared" si="14"/>
        <v>6.0038113761019396</v>
      </c>
      <c r="W36" s="26">
        <f t="shared" si="9"/>
        <v>0.35476295757044463</v>
      </c>
      <c r="X36" s="26">
        <f t="shared" si="15"/>
        <v>-0.26853754765095145</v>
      </c>
      <c r="Y36" s="26">
        <f t="shared" si="22"/>
        <v>-1.3490639491986838</v>
      </c>
      <c r="Z36" s="26">
        <f t="shared" si="23"/>
        <v>0.69836382461562319</v>
      </c>
      <c r="AA36" s="26">
        <f t="shared" si="16"/>
        <v>-0.91923767223401209</v>
      </c>
      <c r="AC36">
        <v>340</v>
      </c>
      <c r="AD36">
        <f t="shared" si="13"/>
        <v>173.33594480732754</v>
      </c>
    </row>
    <row r="37" spans="1:30" x14ac:dyDescent="0.35">
      <c r="E37" s="3">
        <f t="shared" si="10"/>
        <v>35</v>
      </c>
      <c r="F37" s="1">
        <f t="shared" si="17"/>
        <v>289.23961087146955</v>
      </c>
      <c r="G37" s="1">
        <f t="shared" si="3"/>
        <v>154.56754007706118</v>
      </c>
      <c r="I37" s="1">
        <f t="shared" si="18"/>
        <v>0.22689455021156615</v>
      </c>
      <c r="J37" s="26">
        <f t="shared" si="19"/>
        <v>8.5824621909812993E-2</v>
      </c>
      <c r="K37" s="26"/>
      <c r="L37" s="1">
        <f t="shared" si="24"/>
        <v>0.22689455021156615</v>
      </c>
      <c r="M37" s="1">
        <f t="shared" si="25"/>
        <v>154.56754007706118</v>
      </c>
      <c r="O37" s="1">
        <f t="shared" si="6"/>
        <v>6.0546458631803461E-2</v>
      </c>
      <c r="P37" s="1">
        <f t="shared" si="20"/>
        <v>0.16634809157976269</v>
      </c>
      <c r="Q37" s="1">
        <f t="shared" si="7"/>
        <v>2.0973908513730162E-2</v>
      </c>
      <c r="R37" s="1">
        <f t="shared" si="21"/>
        <v>6.4850713396082824E-2</v>
      </c>
      <c r="T37" s="4">
        <f t="shared" si="12"/>
        <v>2.0973908513730162E-2</v>
      </c>
      <c r="U37" s="4">
        <f t="shared" si="14"/>
        <v>6.0396809598632775</v>
      </c>
      <c r="W37" s="26">
        <f t="shared" si="9"/>
        <v>0.36893808140955042</v>
      </c>
      <c r="X37" s="26">
        <f t="shared" si="15"/>
        <v>-0.27260014832929125</v>
      </c>
      <c r="Y37" s="26">
        <f t="shared" si="22"/>
        <v>-1.33408664057009</v>
      </c>
      <c r="Z37" s="26">
        <f t="shared" si="23"/>
        <v>0.70092723147930402</v>
      </c>
      <c r="AA37" s="26">
        <f t="shared" si="16"/>
        <v>-0.90575955742007719</v>
      </c>
      <c r="AC37">
        <v>350</v>
      </c>
      <c r="AD37">
        <f t="shared" si="13"/>
        <v>170.28203586246104</v>
      </c>
    </row>
    <row r="38" spans="1:30" x14ac:dyDescent="0.35">
      <c r="E38" s="3">
        <f t="shared" si="10"/>
        <v>36</v>
      </c>
      <c r="F38" s="1">
        <f t="shared" si="17"/>
        <v>293.31069593914879</v>
      </c>
      <c r="G38" s="1">
        <f t="shared" si="3"/>
        <v>161.61886625621659</v>
      </c>
      <c r="I38" s="1">
        <f t="shared" si="18"/>
        <v>0.25454494890975321</v>
      </c>
      <c r="J38" s="26">
        <f t="shared" si="19"/>
        <v>9.2636574273393835E-2</v>
      </c>
      <c r="K38" s="26"/>
      <c r="L38" s="1">
        <f t="shared" si="24"/>
        <v>0.25454494890975321</v>
      </c>
      <c r="M38" s="1">
        <f t="shared" si="25"/>
        <v>161.61886625621659</v>
      </c>
      <c r="O38" s="1">
        <f t="shared" si="6"/>
        <v>6.2840224410402851E-2</v>
      </c>
      <c r="P38" s="1">
        <f t="shared" si="20"/>
        <v>0.19170472449935036</v>
      </c>
      <c r="Q38" s="1">
        <f t="shared" si="7"/>
        <v>2.1768492287569545E-2</v>
      </c>
      <c r="R38" s="1">
        <f t="shared" si="21"/>
        <v>7.0868081985824297E-2</v>
      </c>
      <c r="T38" s="4">
        <f t="shared" si="12"/>
        <v>2.1768492287569545E-2</v>
      </c>
      <c r="U38" s="4">
        <f t="shared" si="14"/>
        <v>6.0749634700541337</v>
      </c>
      <c r="W38" s="26">
        <f t="shared" si="9"/>
        <v>0.38291507634340149</v>
      </c>
      <c r="X38" s="26">
        <f t="shared" si="15"/>
        <v>-0.27646594397397828</v>
      </c>
      <c r="Y38" s="26">
        <f t="shared" si="22"/>
        <v>-1.3180756209306659</v>
      </c>
      <c r="Z38" s="26">
        <f t="shared" si="23"/>
        <v>0.70342166632643344</v>
      </c>
      <c r="AA38" s="26">
        <f t="shared" si="16"/>
        <v>-0.89111989857821072</v>
      </c>
      <c r="AC38">
        <v>360</v>
      </c>
      <c r="AD38">
        <f t="shared" si="13"/>
        <v>166.84164009013421</v>
      </c>
    </row>
    <row r="39" spans="1:30" x14ac:dyDescent="0.35">
      <c r="E39" s="3">
        <f t="shared" si="10"/>
        <v>37</v>
      </c>
      <c r="F39" s="1">
        <f t="shared" si="17"/>
        <v>297.38178100682796</v>
      </c>
      <c r="G39" s="1">
        <f t="shared" si="3"/>
        <v>168.67019243537192</v>
      </c>
      <c r="I39" s="1">
        <f t="shared" si="18"/>
        <v>0.28442590281353791</v>
      </c>
      <c r="J39" s="26">
        <f t="shared" si="19"/>
        <v>9.9335967912390494E-2</v>
      </c>
      <c r="K39" s="26"/>
      <c r="L39" s="1">
        <f t="shared" si="24"/>
        <v>0.28442590281353791</v>
      </c>
      <c r="M39" s="1">
        <f t="shared" si="25"/>
        <v>168.67019243537192</v>
      </c>
      <c r="O39" s="1">
        <f t="shared" si="6"/>
        <v>6.5102371660705358E-2</v>
      </c>
      <c r="P39" s="1">
        <f t="shared" si="20"/>
        <v>0.21932353115283257</v>
      </c>
      <c r="Q39" s="1">
        <f t="shared" si="7"/>
        <v>2.2552123081914781E-2</v>
      </c>
      <c r="R39" s="1">
        <f t="shared" si="21"/>
        <v>7.678384483047572E-2</v>
      </c>
      <c r="T39" s="4">
        <f t="shared" si="12"/>
        <v>2.2552123081914781E-2</v>
      </c>
      <c r="U39" s="4">
        <f t="shared" si="14"/>
        <v>6.1096502205398755</v>
      </c>
      <c r="W39" s="26">
        <f t="shared" si="9"/>
        <v>0.39669940469640791</v>
      </c>
      <c r="X39" s="26">
        <f t="shared" si="15"/>
        <v>-0.28014736536418361</v>
      </c>
      <c r="Y39" s="26">
        <f t="shared" si="22"/>
        <v>-1.3008775514487267</v>
      </c>
      <c r="Z39" s="26">
        <f t="shared" si="23"/>
        <v>0.70585074369078371</v>
      </c>
      <c r="AA39" s="26">
        <f t="shared" si="16"/>
        <v>-0.87517417312212653</v>
      </c>
      <c r="AC39">
        <v>370</v>
      </c>
      <c r="AD39">
        <f t="shared" si="13"/>
        <v>162.99028545822338</v>
      </c>
    </row>
    <row r="40" spans="1:30" x14ac:dyDescent="0.35">
      <c r="E40" s="3">
        <f t="shared" si="10"/>
        <v>38</v>
      </c>
      <c r="F40" s="1">
        <f t="shared" si="17"/>
        <v>301.45286607450714</v>
      </c>
      <c r="G40" s="1">
        <f t="shared" si="3"/>
        <v>175.72151861452724</v>
      </c>
      <c r="I40" s="1">
        <f t="shared" si="18"/>
        <v>0.31685348737649072</v>
      </c>
      <c r="J40" s="26">
        <f t="shared" si="19"/>
        <v>0.10592233245740468</v>
      </c>
      <c r="K40" s="26"/>
      <c r="L40" s="1">
        <f t="shared" si="24"/>
        <v>0.31685348737649072</v>
      </c>
      <c r="M40" s="1">
        <f t="shared" si="25"/>
        <v>175.72151861452724</v>
      </c>
      <c r="O40" s="1">
        <f t="shared" si="6"/>
        <v>6.7333760237773058E-2</v>
      </c>
      <c r="P40" s="1">
        <f t="shared" si="20"/>
        <v>0.24951972713871767</v>
      </c>
      <c r="Q40" s="1">
        <f t="shared" si="7"/>
        <v>2.3325098759296798E-2</v>
      </c>
      <c r="R40" s="1">
        <f t="shared" si="21"/>
        <v>8.2597233698107883E-2</v>
      </c>
      <c r="T40" s="4">
        <f t="shared" si="12"/>
        <v>2.3325098759296798E-2</v>
      </c>
      <c r="U40" s="4">
        <f t="shared" si="14"/>
        <v>6.143736706834785</v>
      </c>
      <c r="W40" s="26">
        <f t="shared" si="9"/>
        <v>0.41029630597033506</v>
      </c>
      <c r="X40" s="26">
        <f t="shared" si="15"/>
        <v>-0.28365597113572644</v>
      </c>
      <c r="Y40" s="26">
        <f t="shared" si="22"/>
        <v>-1.282302221317758</v>
      </c>
      <c r="Z40" s="26">
        <f t="shared" si="23"/>
        <v>0.70821780121231137</v>
      </c>
      <c r="AA40" s="26">
        <f t="shared" si="16"/>
        <v>-0.85774039124117307</v>
      </c>
      <c r="AC40">
        <v>380</v>
      </c>
      <c r="AD40">
        <f t="shared" si="13"/>
        <v>158.69805479219423</v>
      </c>
    </row>
    <row r="41" spans="1:30" x14ac:dyDescent="0.35">
      <c r="E41" s="3">
        <f t="shared" si="10"/>
        <v>39</v>
      </c>
      <c r="F41" s="1">
        <f t="shared" si="17"/>
        <v>305.52395114218638</v>
      </c>
      <c r="G41" s="1">
        <f t="shared" si="3"/>
        <v>182.77284479368265</v>
      </c>
      <c r="I41" s="1">
        <f t="shared" si="18"/>
        <v>0.35223086456844338</v>
      </c>
      <c r="J41" s="26">
        <f t="shared" si="19"/>
        <v>0.11239577661259964</v>
      </c>
      <c r="K41" s="26"/>
      <c r="L41" s="1">
        <f t="shared" si="24"/>
        <v>0.35223086456844338</v>
      </c>
      <c r="M41" s="1">
        <f t="shared" si="25"/>
        <v>182.77284479368265</v>
      </c>
      <c r="O41" s="1">
        <f t="shared" si="6"/>
        <v>6.9535215391483704E-2</v>
      </c>
      <c r="P41" s="1">
        <f t="shared" si="20"/>
        <v>0.28269564917695966</v>
      </c>
      <c r="Q41" s="1">
        <f t="shared" si="7"/>
        <v>2.4087705194659043E-2</v>
      </c>
      <c r="R41" s="1">
        <f t="shared" si="21"/>
        <v>8.8308071417940601E-2</v>
      </c>
      <c r="T41" s="4">
        <f t="shared" si="12"/>
        <v>2.4087705194659043E-2</v>
      </c>
      <c r="U41" s="4">
        <f t="shared" si="14"/>
        <v>6.1772218901077247</v>
      </c>
      <c r="W41" s="26">
        <f>LN((SQRT(3)*$C$23+G41)/(SQRT(3)*$C$23+$G$2))</f>
        <v>0.42371080880126605</v>
      </c>
      <c r="X41" s="26">
        <f t="shared" si="15"/>
        <v>-0.28700250307814895</v>
      </c>
      <c r="Y41" s="26">
        <f t="shared" si="22"/>
        <v>-1.2621096878601852</v>
      </c>
      <c r="Z41" s="26">
        <f t="shared" si="23"/>
        <v>0.71052592721655405</v>
      </c>
      <c r="AA41" s="26">
        <f t="shared" si="16"/>
        <v>-0.83858626372178002</v>
      </c>
      <c r="AC41">
        <v>390</v>
      </c>
      <c r="AD41">
        <f t="shared" si="13"/>
        <v>153.92807148530528</v>
      </c>
    </row>
    <row r="42" spans="1:30" x14ac:dyDescent="0.35">
      <c r="E42" s="3">
        <f t="shared" si="10"/>
        <v>40</v>
      </c>
      <c r="F42" s="1">
        <f t="shared" si="17"/>
        <v>309.59503620986555</v>
      </c>
      <c r="G42" s="1">
        <f t="shared" si="3"/>
        <v>189.82417097283798</v>
      </c>
      <c r="I42" s="1">
        <f t="shared" si="18"/>
        <v>0.39108115246062092</v>
      </c>
      <c r="J42" s="26">
        <f t="shared" si="19"/>
        <v>0.11875688495252697</v>
      </c>
      <c r="K42" s="26"/>
      <c r="L42" s="1">
        <f t="shared" si="24"/>
        <v>0.39108115246062092</v>
      </c>
      <c r="M42" s="1">
        <f t="shared" si="25"/>
        <v>189.82417097283798</v>
      </c>
      <c r="O42" s="1">
        <f t="shared" si="6"/>
        <v>7.1707529598907471E-2</v>
      </c>
      <c r="P42" s="1">
        <f t="shared" si="20"/>
        <v>0.31937362286171345</v>
      </c>
      <c r="Q42" s="1">
        <f t="shared" si="7"/>
        <v>2.4840216910111363E-2</v>
      </c>
      <c r="R42" s="1">
        <f t="shared" si="21"/>
        <v>9.3916668042415608E-2</v>
      </c>
      <c r="T42" s="4">
        <f t="shared" si="12"/>
        <v>2.4840216910111363E-2</v>
      </c>
      <c r="U42" s="4">
        <f t="shared" si="14"/>
        <v>6.2101075883341554</v>
      </c>
      <c r="W42" s="26">
        <f t="shared" si="9"/>
        <v>0.43694774212513593</v>
      </c>
      <c r="X42" s="26">
        <f t="shared" si="15"/>
        <v>-0.29019694068166263</v>
      </c>
      <c r="Y42" s="26">
        <f t="shared" si="22"/>
        <v>-1.2399912700034557</v>
      </c>
      <c r="Z42" s="26">
        <f t="shared" si="23"/>
        <v>0.71277798494356093</v>
      </c>
      <c r="AA42" s="26">
        <f t="shared" si="16"/>
        <v>-0.81741022574155742</v>
      </c>
      <c r="AC42">
        <v>400</v>
      </c>
      <c r="AD42">
        <f t="shared" si="13"/>
        <v>148.63434644398333</v>
      </c>
    </row>
    <row r="43" spans="1:30" x14ac:dyDescent="0.35">
      <c r="E43" s="3">
        <f t="shared" si="10"/>
        <v>41</v>
      </c>
      <c r="F43" s="1">
        <f t="shared" si="17"/>
        <v>313.66612127754479</v>
      </c>
      <c r="G43" s="1">
        <f t="shared" si="3"/>
        <v>196.87549715199339</v>
      </c>
      <c r="I43" s="1">
        <f t="shared" si="18"/>
        <v>0.43409769672359816</v>
      </c>
      <c r="J43" s="26">
        <f t="shared" si="19"/>
        <v>0.1250066304056493</v>
      </c>
      <c r="K43" s="26"/>
      <c r="L43" s="1">
        <f t="shared" si="24"/>
        <v>0.43409769672359816</v>
      </c>
      <c r="M43" s="1">
        <f t="shared" si="25"/>
        <v>196.87549715199339</v>
      </c>
      <c r="O43" s="1">
        <f t="shared" si="6"/>
        <v>7.3851464276983927E-2</v>
      </c>
      <c r="P43" s="1">
        <f t="shared" si="20"/>
        <v>0.36024623244661425</v>
      </c>
      <c r="Q43" s="1">
        <f t="shared" si="7"/>
        <v>2.5582897668218828E-2</v>
      </c>
      <c r="R43" s="1">
        <f t="shared" si="21"/>
        <v>9.9423732737430479E-2</v>
      </c>
      <c r="T43" s="4">
        <f t="shared" si="12"/>
        <v>2.5582897668218828E-2</v>
      </c>
      <c r="U43" s="4">
        <f t="shared" si="14"/>
        <v>6.2423979596693631</v>
      </c>
      <c r="W43" s="26">
        <f t="shared" si="9"/>
        <v>0.45001174561387924</v>
      </c>
      <c r="X43" s="26">
        <f t="shared" si="15"/>
        <v>-0.29324855406162242</v>
      </c>
      <c r="Y43" s="26">
        <f t="shared" si="22"/>
        <v>-1.2155404934368312</v>
      </c>
      <c r="Z43" s="26">
        <f t="shared" si="23"/>
        <v>0.7149766339032213</v>
      </c>
      <c r="AA43" s="26">
        <f t="shared" si="16"/>
        <v>-0.79381241359523247</v>
      </c>
      <c r="AC43">
        <v>410</v>
      </c>
      <c r="AD43">
        <f t="shared" si="13"/>
        <v>142.75862793456909</v>
      </c>
    </row>
    <row r="44" spans="1:30" x14ac:dyDescent="0.35">
      <c r="E44" s="3">
        <f t="shared" si="10"/>
        <v>42</v>
      </c>
      <c r="F44" s="1">
        <f t="shared" si="17"/>
        <v>317.73720634522397</v>
      </c>
      <c r="G44" s="1">
        <f t="shared" si="3"/>
        <v>203.92682333114871</v>
      </c>
      <c r="I44" s="1">
        <f t="shared" si="18"/>
        <v>0.48222410687445361</v>
      </c>
      <c r="J44" s="26">
        <f t="shared" si="19"/>
        <v>0.13114630019232776</v>
      </c>
      <c r="K44" s="26"/>
      <c r="L44" s="1">
        <f t="shared" si="24"/>
        <v>0.48222410687445361</v>
      </c>
      <c r="M44" s="1">
        <f t="shared" si="25"/>
        <v>203.92682333114871</v>
      </c>
      <c r="O44" s="1">
        <f t="shared" si="6"/>
        <v>7.5967751384761834E-2</v>
      </c>
      <c r="P44" s="1">
        <f t="shared" si="20"/>
        <v>0.4062563554896918</v>
      </c>
      <c r="Q44" s="1">
        <f t="shared" si="7"/>
        <v>2.6316001027033697E-2</v>
      </c>
      <c r="R44" s="1">
        <f t="shared" si="21"/>
        <v>0.10483029916529406</v>
      </c>
      <c r="T44" s="4">
        <f t="shared" si="12"/>
        <v>2.6316001027033697E-2</v>
      </c>
      <c r="U44" s="4">
        <f t="shared" si="14"/>
        <v>6.2740990649355162</v>
      </c>
      <c r="W44" s="26">
        <f t="shared" si="9"/>
        <v>0.46290727943863086</v>
      </c>
      <c r="X44" s="26">
        <f t="shared" si="15"/>
        <v>-0.29616595467625501</v>
      </c>
      <c r="Y44" s="26">
        <f t="shared" si="22"/>
        <v>-1.1882068507511234</v>
      </c>
      <c r="Z44" s="26">
        <f t="shared" si="23"/>
        <v>0.71712434875651454</v>
      </c>
      <c r="AA44" s="26">
        <f t="shared" si="16"/>
        <v>-0.76724845667086383</v>
      </c>
      <c r="AC44">
        <v>420</v>
      </c>
      <c r="AD44">
        <f t="shared" si="13"/>
        <v>136.2256286899688</v>
      </c>
    </row>
    <row r="45" spans="1:30" x14ac:dyDescent="0.35">
      <c r="E45" s="3">
        <f t="shared" si="10"/>
        <v>43</v>
      </c>
      <c r="F45" s="1">
        <f t="shared" si="17"/>
        <v>321.80829141290315</v>
      </c>
      <c r="G45" s="1">
        <f t="shared" si="3"/>
        <v>210.97814951030404</v>
      </c>
      <c r="I45" s="1">
        <f t="shared" si="18"/>
        <v>0.53678805446692357</v>
      </c>
      <c r="J45" s="26">
        <f t="shared" si="19"/>
        <v>0.13717743327176854</v>
      </c>
      <c r="K45" s="26"/>
      <c r="L45" s="1">
        <f t="shared" si="24"/>
        <v>0.53678805446692357</v>
      </c>
      <c r="M45" s="1">
        <f t="shared" si="25"/>
        <v>210.97814951030404</v>
      </c>
      <c r="O45" s="1">
        <f t="shared" si="6"/>
        <v>7.8057094923638118E-2</v>
      </c>
      <c r="P45" s="1">
        <f>(AA45-$AA$27)*SQRT(3)</f>
        <v>0.45873095954328547</v>
      </c>
      <c r="Q45" s="1">
        <f t="shared" si="7"/>
        <v>2.7039770859793585E-2</v>
      </c>
      <c r="R45" s="1">
        <f t="shared" si="21"/>
        <v>0.11013766241197497</v>
      </c>
      <c r="T45" s="4">
        <f t="shared" si="12"/>
        <v>2.7039770859793585E-2</v>
      </c>
      <c r="U45" s="4">
        <f t="shared" si="14"/>
        <v>6.3052184977980525</v>
      </c>
      <c r="W45" s="26">
        <f t="shared" si="9"/>
        <v>0.47563863341138918</v>
      </c>
      <c r="X45" s="26">
        <f t="shared" si="15"/>
        <v>-0.29895714347065838</v>
      </c>
      <c r="Y45" s="26">
        <f t="shared" si="22"/>
        <v>-1.1572185224831057</v>
      </c>
      <c r="Z45" s="26">
        <f t="shared" si="23"/>
        <v>0.71922343605886163</v>
      </c>
      <c r="AA45" s="26">
        <f t="shared" si="16"/>
        <v>-0.7369522298949025</v>
      </c>
      <c r="AC45">
        <v>430</v>
      </c>
      <c r="AD45">
        <f t="shared" si="13"/>
        <v>128.93547661322555</v>
      </c>
    </row>
    <row r="46" spans="1:30" x14ac:dyDescent="0.35">
      <c r="E46" s="3">
        <f t="shared" si="10"/>
        <v>44</v>
      </c>
      <c r="F46" s="1">
        <f t="shared" si="17"/>
        <v>325.87937648058238</v>
      </c>
      <c r="G46" s="1">
        <f t="shared" si="3"/>
        <v>218.02947568945945</v>
      </c>
      <c r="I46" s="1">
        <f t="shared" si="18"/>
        <v>0.59973895303846214</v>
      </c>
      <c r="J46" s="26">
        <f t="shared" si="19"/>
        <v>0.14310176761229143</v>
      </c>
      <c r="K46" s="26"/>
      <c r="L46" s="1">
        <f t="shared" si="24"/>
        <v>0.59973895303846214</v>
      </c>
      <c r="M46" s="1">
        <f t="shared" si="25"/>
        <v>218.02947568945945</v>
      </c>
      <c r="O46" s="1">
        <f t="shared" si="6"/>
        <v>8.0120172343290746E-2</v>
      </c>
      <c r="P46" s="1">
        <f t="shared" si="20"/>
        <v>0.51961878069517142</v>
      </c>
      <c r="Q46" s="1">
        <f t="shared" si="7"/>
        <v>2.7754441841950864E-2</v>
      </c>
      <c r="R46" s="1">
        <f t="shared" si="21"/>
        <v>0.11534732577034056</v>
      </c>
      <c r="T46" s="4">
        <f t="shared" si="12"/>
        <v>2.7754441841950864E-2</v>
      </c>
      <c r="U46" s="4">
        <f t="shared" si="14"/>
        <v>6.3357650727321237</v>
      </c>
      <c r="W46" s="26">
        <f t="shared" si="9"/>
        <v>0.48820993555202657</v>
      </c>
      <c r="X46" s="26">
        <f t="shared" si="15"/>
        <v>-0.30162955624193677</v>
      </c>
      <c r="Y46" s="26">
        <f t="shared" si="22"/>
        <v>-1.1214451228701972</v>
      </c>
      <c r="Z46" s="26">
        <f t="shared" si="23"/>
        <v>0.7212760491496425</v>
      </c>
      <c r="AA46" s="26">
        <f t="shared" si="16"/>
        <v>-0.70179862996249132</v>
      </c>
      <c r="AC46">
        <v>440</v>
      </c>
      <c r="AD46">
        <f t="shared" si="13"/>
        <v>120.75111387588873</v>
      </c>
    </row>
    <row r="47" spans="1:30" x14ac:dyDescent="0.35">
      <c r="E47" s="3">
        <f t="shared" si="10"/>
        <v>45</v>
      </c>
      <c r="F47" s="1">
        <f t="shared" si="17"/>
        <v>329.95046154826156</v>
      </c>
      <c r="G47" s="1">
        <f t="shared" si="3"/>
        <v>225.08080186861474</v>
      </c>
      <c r="I47" s="1">
        <f t="shared" si="18"/>
        <v>0.67410435320809459</v>
      </c>
      <c r="J47" s="26">
        <f t="shared" si="19"/>
        <v>0.14892119583125416</v>
      </c>
      <c r="K47" s="26"/>
      <c r="L47" s="1">
        <f t="shared" si="24"/>
        <v>0.67410435320809459</v>
      </c>
      <c r="M47" s="1">
        <f t="shared" si="25"/>
        <v>225.08080186861474</v>
      </c>
      <c r="O47" s="1">
        <f t="shared" si="6"/>
        <v>8.2157635860330674E-2</v>
      </c>
      <c r="P47" s="1">
        <f t="shared" si="20"/>
        <v>0.59194671734776394</v>
      </c>
      <c r="Q47" s="1">
        <f t="shared" si="7"/>
        <v>2.8460239907967103E-2</v>
      </c>
      <c r="R47" s="1">
        <f t="shared" si="21"/>
        <v>0.12046095592328705</v>
      </c>
      <c r="T47" s="4">
        <f t="shared" si="12"/>
        <v>2.8460239907967103E-2</v>
      </c>
      <c r="U47" s="4">
        <f t="shared" si="14"/>
        <v>6.3657485622413406</v>
      </c>
      <c r="W47" s="26">
        <f t="shared" si="9"/>
        <v>0.50062516012345704</v>
      </c>
      <c r="X47" s="26">
        <f t="shared" si="15"/>
        <v>-0.30419010613915232</v>
      </c>
      <c r="Y47" s="26">
        <f t="shared" si="22"/>
        <v>-1.0791341715558951</v>
      </c>
      <c r="Z47" s="26">
        <f t="shared" si="23"/>
        <v>0.72328420142886052</v>
      </c>
      <c r="AA47" s="26">
        <f t="shared" si="16"/>
        <v>-0.66004007626618688</v>
      </c>
      <c r="AC47">
        <v>450</v>
      </c>
      <c r="AD47">
        <f t="shared" si="13"/>
        <v>111.47575983298753</v>
      </c>
    </row>
    <row r="48" spans="1:30" x14ac:dyDescent="0.35">
      <c r="E48" s="3">
        <f t="shared" si="10"/>
        <v>46</v>
      </c>
      <c r="F48" s="1">
        <f t="shared" si="17"/>
        <v>334.02154661594079</v>
      </c>
      <c r="G48" s="1">
        <f t="shared" si="3"/>
        <v>232.13212804777018</v>
      </c>
      <c r="I48" s="1">
        <f t="shared" si="18"/>
        <v>0.76496216745180012</v>
      </c>
      <c r="J48" s="26">
        <f t="shared" si="19"/>
        <v>0.15463772795561032</v>
      </c>
      <c r="K48" s="26"/>
      <c r="L48" s="1">
        <f t="shared" si="24"/>
        <v>0.76496216745180012</v>
      </c>
      <c r="M48" s="1">
        <f t="shared" si="25"/>
        <v>232.13212804777018</v>
      </c>
      <c r="O48" s="1">
        <f t="shared" si="6"/>
        <v>8.4170113696096227E-2</v>
      </c>
      <c r="P48" s="1">
        <f t="shared" si="20"/>
        <v>0.68079205375570395</v>
      </c>
      <c r="Q48" s="1">
        <f t="shared" si="7"/>
        <v>2.9157382680097529E-2</v>
      </c>
      <c r="R48" s="1">
        <f t="shared" si="21"/>
        <v>0.1254803452755128</v>
      </c>
      <c r="T48" s="4">
        <f t="shared" si="12"/>
        <v>2.9157382680097529E-2</v>
      </c>
      <c r="U48" s="4">
        <f t="shared" si="14"/>
        <v>6.3951794759921947</v>
      </c>
      <c r="W48" s="26">
        <f t="shared" si="9"/>
        <v>0.51288813517409992</v>
      </c>
      <c r="X48" s="26">
        <f t="shared" si="15"/>
        <v>-0.30664522329742416</v>
      </c>
      <c r="Y48" s="26">
        <f t="shared" si="22"/>
        <v>-1.0273497523035624</v>
      </c>
      <c r="Z48" s="26">
        <f t="shared" si="23"/>
        <v>0.72524977822616676</v>
      </c>
      <c r="AA48" s="26">
        <f t="shared" si="16"/>
        <v>-0.6087451973748198</v>
      </c>
      <c r="AC48">
        <v>460</v>
      </c>
      <c r="AD48">
        <f t="shared" si="13"/>
        <v>100.80871844092565</v>
      </c>
    </row>
    <row r="49" spans="4:30" x14ac:dyDescent="0.35">
      <c r="E49" s="3">
        <f t="shared" si="10"/>
        <v>47</v>
      </c>
      <c r="F49" s="1">
        <f t="shared" si="17"/>
        <v>338.09263168361997</v>
      </c>
      <c r="G49" s="1">
        <f t="shared" si="3"/>
        <v>239.18345422692548</v>
      </c>
      <c r="I49" s="1">
        <f t="shared" si="18"/>
        <v>0.88183863045327282</v>
      </c>
      <c r="J49" s="26">
        <f t="shared" si="19"/>
        <v>0.16025346023302992</v>
      </c>
      <c r="K49" s="26"/>
      <c r="L49" s="1">
        <f t="shared" si="24"/>
        <v>0.88183863045327282</v>
      </c>
      <c r="M49" s="1">
        <f t="shared" si="25"/>
        <v>239.18345422692548</v>
      </c>
      <c r="O49" s="1">
        <f t="shared" si="6"/>
        <v>8.6158211239465862E-2</v>
      </c>
      <c r="P49" s="1">
        <f t="shared" si="20"/>
        <v>0.79568041921380694</v>
      </c>
      <c r="Q49" s="1">
        <f t="shared" si="7"/>
        <v>2.9846079871201355E-2</v>
      </c>
      <c r="R49" s="1">
        <f t="shared" si="21"/>
        <v>0.13040738036182856</v>
      </c>
      <c r="T49" s="4">
        <f t="shared" si="12"/>
        <v>2.9846079871201355E-2</v>
      </c>
      <c r="U49" s="4">
        <f t="shared" si="14"/>
        <v>6.4240688755779214</v>
      </c>
      <c r="W49" s="26">
        <f t="shared" si="9"/>
        <v>0.52500254962344572</v>
      </c>
      <c r="X49" s="26">
        <f t="shared" si="15"/>
        <v>-0.30900089166581152</v>
      </c>
      <c r="Y49" s="26">
        <f t="shared" si="22"/>
        <v>-0.96058802442263636</v>
      </c>
      <c r="Z49" s="26">
        <f t="shared" si="23"/>
        <v>0.72717454743762</v>
      </c>
      <c r="AA49" s="26">
        <f t="shared" si="16"/>
        <v>-0.54241436865082793</v>
      </c>
      <c r="AC49">
        <v>470</v>
      </c>
      <c r="AD49">
        <f t="shared" si="13"/>
        <v>88.24675377795829</v>
      </c>
    </row>
    <row r="50" spans="4:30" x14ac:dyDescent="0.35">
      <c r="E50" s="3">
        <f t="shared" si="10"/>
        <v>48</v>
      </c>
      <c r="F50" s="1">
        <f t="shared" si="17"/>
        <v>342.16371675129915</v>
      </c>
      <c r="G50" s="1">
        <f t="shared" si="3"/>
        <v>246.2347804060808</v>
      </c>
      <c r="I50" s="1">
        <f t="shared" si="18"/>
        <v>1.0461293486901744</v>
      </c>
      <c r="J50" s="26">
        <f t="shared" si="19"/>
        <v>0.16577054907893524</v>
      </c>
      <c r="K50" s="26"/>
      <c r="L50" s="1">
        <f t="shared" si="24"/>
        <v>1.0461293486901744</v>
      </c>
      <c r="M50" s="1">
        <f t="shared" si="25"/>
        <v>246.2347804060808</v>
      </c>
      <c r="O50" s="1">
        <f t="shared" si="6"/>
        <v>8.8122512140076881E-2</v>
      </c>
      <c r="P50" s="1">
        <f t="shared" si="20"/>
        <v>0.95800683655009744</v>
      </c>
      <c r="Q50" s="1">
        <f t="shared" si="7"/>
        <v>3.052653366344367E-2</v>
      </c>
      <c r="R50" s="1">
        <f t="shared" si="21"/>
        <v>0.13524401541549155</v>
      </c>
      <c r="T50" s="4">
        <f t="shared" si="12"/>
        <v>3.052653366344367E-2</v>
      </c>
      <c r="U50" s="4">
        <f t="shared" si="14"/>
        <v>6.4524282195378779</v>
      </c>
      <c r="W50" s="26">
        <f t="shared" si="9"/>
        <v>0.53697195992355218</v>
      </c>
      <c r="X50" s="26">
        <f t="shared" si="15"/>
        <v>-0.31126268312972133</v>
      </c>
      <c r="Y50" s="26">
        <f t="shared" si="22"/>
        <v>-0.86649265385600249</v>
      </c>
      <c r="Z50" s="26">
        <f t="shared" si="23"/>
        <v>0.72906016908059079</v>
      </c>
      <c r="AA50" s="26">
        <f t="shared" si="16"/>
        <v>-0.44869516790513309</v>
      </c>
      <c r="AC50">
        <v>480</v>
      </c>
      <c r="AD50">
        <f t="shared" si="13"/>
        <v>72.815661407963788</v>
      </c>
    </row>
    <row r="51" spans="4:30" x14ac:dyDescent="0.35">
      <c r="E51" s="3">
        <f t="shared" si="10"/>
        <v>49</v>
      </c>
      <c r="F51" s="1">
        <f t="shared" si="17"/>
        <v>346.23480181897838</v>
      </c>
      <c r="G51" s="1">
        <f t="shared" si="3"/>
        <v>253.28610658523621</v>
      </c>
      <c r="I51" s="1">
        <f t="shared" si="18"/>
        <v>1.3261200434778746</v>
      </c>
      <c r="J51" s="26">
        <f t="shared" si="19"/>
        <v>0.17119118937903993</v>
      </c>
      <c r="K51" s="26"/>
      <c r="L51" s="1">
        <f t="shared" si="24"/>
        <v>1.3261200434778746</v>
      </c>
      <c r="M51" s="1">
        <f t="shared" si="25"/>
        <v>253.28610658523621</v>
      </c>
      <c r="O51" s="1">
        <f t="shared" si="6"/>
        <v>9.0063579336887203E-2</v>
      </c>
      <c r="P51" s="1">
        <f t="shared" si="20"/>
        <v>1.2360564641409875</v>
      </c>
      <c r="Q51" s="1">
        <f t="shared" si="7"/>
        <v>3.1198939064599824E-2</v>
      </c>
      <c r="R51" s="1">
        <f t="shared" si="21"/>
        <v>0.1399922503144401</v>
      </c>
      <c r="T51" s="4">
        <f t="shared" si="12"/>
        <v>3.1198939064599824E-2</v>
      </c>
      <c r="U51" s="4">
        <f t="shared" si="14"/>
        <v>6.480269234046502</v>
      </c>
      <c r="W51" s="26">
        <f t="shared" si="9"/>
        <v>0.54879979632655607</v>
      </c>
      <c r="X51" s="26">
        <f t="shared" si="15"/>
        <v>-0.31343578905523922</v>
      </c>
      <c r="Y51" s="26">
        <f t="shared" si="22"/>
        <v>-0.70563555540843959</v>
      </c>
      <c r="Z51" s="26">
        <f t="shared" si="23"/>
        <v>0.73090820389622124</v>
      </c>
      <c r="AA51" s="26">
        <f t="shared" si="16"/>
        <v>-0.28816314056745751</v>
      </c>
      <c r="AC51">
        <v>490</v>
      </c>
      <c r="AD51">
        <f t="shared" si="13"/>
        <v>52.022021255394201</v>
      </c>
    </row>
    <row r="52" spans="4:30" x14ac:dyDescent="0.35">
      <c r="D52" s="25" t="s">
        <v>4</v>
      </c>
      <c r="E52" s="3">
        <v>50</v>
      </c>
      <c r="F52" s="1">
        <f>$F$27+($C$17-$F$27)/25*(E52-25)+(F51-F50)/(ABS(F51-F50))*0.01</f>
        <v>350.31588688665755</v>
      </c>
      <c r="G52" s="1">
        <f t="shared" si="3"/>
        <v>260.35475327246724</v>
      </c>
      <c r="I52" s="1">
        <f t="shared" si="18"/>
        <v>3.7429299644508016</v>
      </c>
      <c r="J52" s="26">
        <f t="shared" si="19"/>
        <v>0.1765305657963121</v>
      </c>
      <c r="K52" s="26"/>
      <c r="L52" s="1">
        <f t="shared" si="24"/>
        <v>3.7429299644508016</v>
      </c>
      <c r="M52" s="1">
        <f t="shared" si="25"/>
        <v>260.35475327246724</v>
      </c>
      <c r="O52" s="1">
        <f t="shared" si="6"/>
        <v>9.1986640724915456E-2</v>
      </c>
      <c r="P52" s="1">
        <f>(AA52-$AA$27)*SQRT(3)</f>
        <v>3.6509433237258864</v>
      </c>
      <c r="Q52" s="1">
        <f t="shared" si="7"/>
        <v>3.1865107070627598E-2</v>
      </c>
      <c r="R52" s="1">
        <f t="shared" si="21"/>
        <v>0.14466545872568451</v>
      </c>
      <c r="T52" s="4">
        <f t="shared" si="12"/>
        <v>3.1865107070627598E-2</v>
      </c>
      <c r="U52" s="4">
        <f t="shared" si="14"/>
        <v>6.5076703348656908</v>
      </c>
      <c r="W52" s="26">
        <f t="shared" si="9"/>
        <v>0.56051791485841773</v>
      </c>
      <c r="X52" s="26">
        <f t="shared" si="15"/>
        <v>-0.31553008189257931</v>
      </c>
      <c r="Y52" s="26">
        <f t="shared" si="22"/>
        <v>0.68887799127248828</v>
      </c>
      <c r="Z52" s="26">
        <f t="shared" si="23"/>
        <v>0.73272452849646486</v>
      </c>
      <c r="AA52" s="26">
        <f t="shared" si="16"/>
        <v>1.1060724378763738</v>
      </c>
      <c r="AC52">
        <v>500</v>
      </c>
      <c r="AD52">
        <f t="shared" si="13"/>
        <v>0</v>
      </c>
    </row>
    <row r="53" spans="4:30" x14ac:dyDescent="0.35">
      <c r="E53" s="3"/>
    </row>
    <row r="54" spans="4:30" x14ac:dyDescent="0.35">
      <c r="E54" s="3"/>
    </row>
    <row r="55" spans="4:30" x14ac:dyDescent="0.35">
      <c r="E55" s="3"/>
    </row>
    <row r="56" spans="4:30" x14ac:dyDescent="0.35">
      <c r="E56" s="3"/>
    </row>
    <row r="57" spans="4:30" x14ac:dyDescent="0.35">
      <c r="E57" s="3"/>
    </row>
    <row r="58" spans="4:30" x14ac:dyDescent="0.35">
      <c r="E58" s="3"/>
    </row>
    <row r="59" spans="4:30" x14ac:dyDescent="0.35">
      <c r="E59" s="3"/>
    </row>
    <row r="60" spans="4:30" x14ac:dyDescent="0.35">
      <c r="E60" s="3"/>
    </row>
    <row r="61" spans="4:30" x14ac:dyDescent="0.35">
      <c r="E61" s="3"/>
    </row>
    <row r="62" spans="4:30" x14ac:dyDescent="0.35">
      <c r="E62" s="3"/>
    </row>
  </sheetData>
  <autoFilter ref="W1:AA52" xr:uid="{00000000-0009-0000-0000-000000000000}"/>
  <mergeCells count="14">
    <mergeCell ref="A1:C1"/>
    <mergeCell ref="A6:C6"/>
    <mergeCell ref="A8:C8"/>
    <mergeCell ref="A33:C33"/>
    <mergeCell ref="A16:C16"/>
    <mergeCell ref="A29:A31"/>
    <mergeCell ref="A9:A15"/>
    <mergeCell ref="A20:A21"/>
    <mergeCell ref="A25:C25"/>
    <mergeCell ref="A26:A27"/>
    <mergeCell ref="A17:A18"/>
    <mergeCell ref="A22:C22"/>
    <mergeCell ref="A19:C19"/>
    <mergeCell ref="A2:A5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2"/>
  <sheetViews>
    <sheetView workbookViewId="0">
      <selection activeCell="C4" sqref="C4"/>
    </sheetView>
  </sheetViews>
  <sheetFormatPr defaultRowHeight="12.75" x14ac:dyDescent="0.35"/>
  <cols>
    <col min="6" max="7" width="9.53125" bestFit="1" customWidth="1"/>
    <col min="12" max="12" width="9.33203125" bestFit="1" customWidth="1"/>
    <col min="13" max="13" width="9.53125" bestFit="1" customWidth="1"/>
    <col min="18" max="19" width="9.53125" bestFit="1" customWidth="1"/>
  </cols>
  <sheetData>
    <row r="1" spans="1:21" ht="13.15" x14ac:dyDescent="0.4">
      <c r="A1" s="28" t="s">
        <v>24</v>
      </c>
      <c r="B1" s="29"/>
      <c r="C1" s="30"/>
      <c r="E1" s="3" t="s">
        <v>28</v>
      </c>
      <c r="F1" s="3" t="s">
        <v>26</v>
      </c>
      <c r="G1" s="3" t="s">
        <v>27</v>
      </c>
      <c r="I1" s="3" t="s">
        <v>5</v>
      </c>
      <c r="J1" s="18" t="s">
        <v>30</v>
      </c>
      <c r="L1" s="3" t="s">
        <v>5</v>
      </c>
      <c r="M1" s="3" t="s">
        <v>27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</row>
    <row r="2" spans="1:21" ht="13.15" x14ac:dyDescent="0.4">
      <c r="A2" s="41" t="s">
        <v>23</v>
      </c>
      <c r="B2" s="15" t="s">
        <v>6</v>
      </c>
      <c r="C2" s="7">
        <v>166</v>
      </c>
      <c r="E2" s="3" t="s">
        <v>29</v>
      </c>
      <c r="F2" s="1">
        <f>C4</f>
        <v>166</v>
      </c>
      <c r="G2" s="1">
        <f>C5</f>
        <v>0</v>
      </c>
      <c r="I2" s="4">
        <f>(G2-$G$2)/Q2</f>
        <v>0</v>
      </c>
      <c r="J2" s="2">
        <f>($C$4+(G2-$C$5)/SQRT(3))-F2</f>
        <v>0</v>
      </c>
      <c r="L2" s="1">
        <f>I2</f>
        <v>0</v>
      </c>
      <c r="M2" s="1">
        <f>G2</f>
        <v>0</v>
      </c>
      <c r="Q2" s="2">
        <f>3*$C$15*F2*(1-2*$C$13)/(2*(1+$C$13)*$C$9)</f>
        <v>4703.1947660655187</v>
      </c>
      <c r="R2" s="1">
        <f>2*ATAN(SQRT(($C$24/F2)^(1/$C$16)-1))-(2-1/$C$16)*SQRT(($C$24/F2)^(1/$C$16)-1)</f>
        <v>0.86495355265135132</v>
      </c>
      <c r="S2" s="1">
        <f>R2</f>
        <v>0.86495355265135132</v>
      </c>
      <c r="T2" s="4">
        <v>0</v>
      </c>
      <c r="U2" s="4">
        <v>0</v>
      </c>
    </row>
    <row r="3" spans="1:21" ht="13.15" x14ac:dyDescent="0.4">
      <c r="A3" s="41"/>
      <c r="B3" s="15" t="s">
        <v>7</v>
      </c>
      <c r="C3" s="7">
        <v>166</v>
      </c>
      <c r="E3" s="3">
        <v>1</v>
      </c>
      <c r="F3" s="1">
        <f>F2</f>
        <v>166</v>
      </c>
      <c r="G3" s="1">
        <f>G2+($C$22-$G$2)/$E$12</f>
        <v>11.083977241544572</v>
      </c>
      <c r="I3" s="4">
        <f t="shared" ref="I3:I12" si="0">(G3-$G$2)/Q3</f>
        <v>2.3566910988925363E-3</v>
      </c>
      <c r="J3" s="2">
        <f t="shared" ref="J3:J31" si="1">($C$4+(G3-$C$5)/SQRT(3))-F3</f>
        <v>6.3993372440974383</v>
      </c>
      <c r="L3" s="1">
        <f t="shared" ref="L3:L31" si="2">I3</f>
        <v>2.3566910988925363E-3</v>
      </c>
      <c r="M3" s="1">
        <f t="shared" ref="M3:M31" si="3">G3</f>
        <v>11.083977241544572</v>
      </c>
      <c r="Q3" s="2">
        <f t="shared" ref="Q3:Q32" si="4">3*$C$15*F3*(1-2*$C$13)/(2*(1+$C$13)*$C$9)</f>
        <v>4703.1947660655187</v>
      </c>
      <c r="R3" s="1">
        <f t="shared" ref="R3:R32" si="5">2*ATAN(SQRT(($C$24/F3)^(1/$C$16)-1))-(2-1/$C$16)*SQRT(($C$24/F3)^(1/$C$16)-1)</f>
        <v>0.86495355265135132</v>
      </c>
      <c r="S3" s="1">
        <f>S2</f>
        <v>0.86495355265135132</v>
      </c>
      <c r="T3" s="4">
        <v>0</v>
      </c>
      <c r="U3" s="4">
        <v>0</v>
      </c>
    </row>
    <row r="4" spans="1:21" x14ac:dyDescent="0.35">
      <c r="A4" s="41"/>
      <c r="B4" s="5" t="s">
        <v>2</v>
      </c>
      <c r="C4" s="8">
        <f>1/3*(C2+C3+C3)</f>
        <v>166</v>
      </c>
      <c r="E4" s="3">
        <f>E3+1</f>
        <v>2</v>
      </c>
      <c r="F4" s="1">
        <f t="shared" ref="F4:F12" si="6">F3</f>
        <v>166</v>
      </c>
      <c r="G4" s="1">
        <f t="shared" ref="G4:G12" si="7">G3+($C$22-$G$2)/$E$12</f>
        <v>22.167954483089144</v>
      </c>
      <c r="I4" s="4">
        <f t="shared" si="0"/>
        <v>4.7133821977850725E-3</v>
      </c>
      <c r="J4" s="2">
        <f t="shared" si="1"/>
        <v>12.798674488194877</v>
      </c>
      <c r="L4" s="1">
        <f t="shared" si="2"/>
        <v>4.7133821977850725E-3</v>
      </c>
      <c r="M4" s="1">
        <f t="shared" si="3"/>
        <v>22.167954483089144</v>
      </c>
      <c r="Q4" s="2">
        <f t="shared" si="4"/>
        <v>4703.1947660655187</v>
      </c>
      <c r="R4" s="1">
        <f t="shared" si="5"/>
        <v>0.86495355265135132</v>
      </c>
      <c r="S4" s="1">
        <f t="shared" ref="S4:S32" si="8">S3</f>
        <v>0.86495355265135132</v>
      </c>
      <c r="T4" s="4">
        <v>0</v>
      </c>
      <c r="U4" s="4">
        <v>0</v>
      </c>
    </row>
    <row r="5" spans="1:21" x14ac:dyDescent="0.35">
      <c r="A5" s="41"/>
      <c r="B5" s="5" t="s">
        <v>3</v>
      </c>
      <c r="C5" s="8">
        <f>(C2-C3)/SQRT(3)</f>
        <v>0</v>
      </c>
      <c r="E5" s="3">
        <f t="shared" ref="E5:E31" si="9">E4+1</f>
        <v>3</v>
      </c>
      <c r="F5" s="1">
        <f t="shared" si="6"/>
        <v>166</v>
      </c>
      <c r="G5" s="1">
        <f t="shared" si="7"/>
        <v>33.251931724633714</v>
      </c>
      <c r="I5" s="4">
        <f t="shared" si="0"/>
        <v>7.0700732966776083E-3</v>
      </c>
      <c r="J5" s="2">
        <f t="shared" si="1"/>
        <v>19.198011732292343</v>
      </c>
      <c r="L5" s="1">
        <f t="shared" si="2"/>
        <v>7.0700732966776083E-3</v>
      </c>
      <c r="M5" s="1">
        <f t="shared" si="3"/>
        <v>33.251931724633714</v>
      </c>
      <c r="Q5" s="2">
        <f t="shared" si="4"/>
        <v>4703.1947660655187</v>
      </c>
      <c r="R5" s="1">
        <f t="shared" si="5"/>
        <v>0.86495355265135132</v>
      </c>
      <c r="S5" s="1">
        <f t="shared" si="8"/>
        <v>0.86495355265135132</v>
      </c>
      <c r="T5" s="4">
        <v>0</v>
      </c>
      <c r="U5" s="4">
        <v>0</v>
      </c>
    </row>
    <row r="6" spans="1:21" x14ac:dyDescent="0.35">
      <c r="A6" s="31"/>
      <c r="B6" s="32"/>
      <c r="C6" s="33"/>
      <c r="E6" s="3">
        <f t="shared" si="9"/>
        <v>4</v>
      </c>
      <c r="F6" s="1">
        <f t="shared" si="6"/>
        <v>166</v>
      </c>
      <c r="G6" s="1">
        <f t="shared" si="7"/>
        <v>44.335908966178287</v>
      </c>
      <c r="I6" s="4">
        <f t="shared" si="0"/>
        <v>9.426764395570145E-3</v>
      </c>
      <c r="J6" s="2">
        <f t="shared" si="1"/>
        <v>25.597348976389782</v>
      </c>
      <c r="L6" s="1">
        <f t="shared" si="2"/>
        <v>9.426764395570145E-3</v>
      </c>
      <c r="M6" s="1">
        <f t="shared" si="3"/>
        <v>44.335908966178287</v>
      </c>
      <c r="Q6" s="2">
        <f t="shared" si="4"/>
        <v>4703.1947660655187</v>
      </c>
      <c r="R6" s="1">
        <f t="shared" si="5"/>
        <v>0.86495355265135132</v>
      </c>
      <c r="S6" s="1">
        <f t="shared" si="8"/>
        <v>0.86495355265135132</v>
      </c>
      <c r="T6" s="4">
        <v>0</v>
      </c>
      <c r="U6" s="4">
        <v>0</v>
      </c>
    </row>
    <row r="7" spans="1:21" x14ac:dyDescent="0.35">
      <c r="A7" s="9" t="s">
        <v>13</v>
      </c>
      <c r="B7" s="5" t="s">
        <v>14</v>
      </c>
      <c r="C7" s="10">
        <v>300</v>
      </c>
      <c r="E7" s="3">
        <f t="shared" si="9"/>
        <v>5</v>
      </c>
      <c r="F7" s="1">
        <f t="shared" si="6"/>
        <v>166</v>
      </c>
      <c r="G7" s="1">
        <f t="shared" si="7"/>
        <v>55.419886207722861</v>
      </c>
      <c r="I7" s="4">
        <f t="shared" si="0"/>
        <v>1.1783455494462681E-2</v>
      </c>
      <c r="J7" s="2">
        <f t="shared" si="1"/>
        <v>31.99668622048722</v>
      </c>
      <c r="L7" s="1">
        <f t="shared" si="2"/>
        <v>1.1783455494462681E-2</v>
      </c>
      <c r="M7" s="1">
        <f t="shared" si="3"/>
        <v>55.419886207722861</v>
      </c>
      <c r="Q7" s="2">
        <f t="shared" si="4"/>
        <v>4703.1947660655187</v>
      </c>
      <c r="R7" s="1">
        <f t="shared" si="5"/>
        <v>0.86495355265135132</v>
      </c>
      <c r="S7" s="1">
        <f t="shared" si="8"/>
        <v>0.86495355265135132</v>
      </c>
      <c r="T7" s="4">
        <v>0</v>
      </c>
      <c r="U7" s="4">
        <v>0</v>
      </c>
    </row>
    <row r="8" spans="1:21" x14ac:dyDescent="0.35">
      <c r="A8" s="31"/>
      <c r="B8" s="32"/>
      <c r="C8" s="33"/>
      <c r="E8" s="3">
        <f t="shared" si="9"/>
        <v>6</v>
      </c>
      <c r="F8" s="1">
        <f t="shared" si="6"/>
        <v>166</v>
      </c>
      <c r="G8" s="1">
        <f t="shared" si="7"/>
        <v>66.503863449267428</v>
      </c>
      <c r="I8" s="4">
        <f t="shared" si="0"/>
        <v>1.4140146593355217E-2</v>
      </c>
      <c r="J8" s="2">
        <f t="shared" si="1"/>
        <v>38.396023464584658</v>
      </c>
      <c r="L8" s="1">
        <f t="shared" si="2"/>
        <v>1.4140146593355217E-2</v>
      </c>
      <c r="M8" s="1">
        <f t="shared" si="3"/>
        <v>66.503863449267428</v>
      </c>
      <c r="Q8" s="2">
        <f t="shared" si="4"/>
        <v>4703.1947660655187</v>
      </c>
      <c r="R8" s="1">
        <f t="shared" si="5"/>
        <v>0.86495355265135132</v>
      </c>
      <c r="S8" s="1">
        <f t="shared" si="8"/>
        <v>0.86495355265135132</v>
      </c>
      <c r="T8" s="4">
        <v>0</v>
      </c>
      <c r="U8" s="4">
        <v>0</v>
      </c>
    </row>
    <row r="9" spans="1:21" ht="12.75" customHeight="1" x14ac:dyDescent="0.4">
      <c r="A9" s="41" t="s">
        <v>22</v>
      </c>
      <c r="B9" s="15" t="s">
        <v>0</v>
      </c>
      <c r="C9" s="7">
        <v>0.05</v>
      </c>
      <c r="E9" s="3">
        <f t="shared" si="9"/>
        <v>7</v>
      </c>
      <c r="F9" s="1">
        <f t="shared" si="6"/>
        <v>166</v>
      </c>
      <c r="G9" s="1">
        <f t="shared" si="7"/>
        <v>77.587840690812001</v>
      </c>
      <c r="I9" s="4">
        <f t="shared" si="0"/>
        <v>1.6496837692247752E-2</v>
      </c>
      <c r="J9" s="2">
        <f t="shared" si="1"/>
        <v>44.795360708682097</v>
      </c>
      <c r="L9" s="1">
        <f t="shared" si="2"/>
        <v>1.6496837692247752E-2</v>
      </c>
      <c r="M9" s="1">
        <f t="shared" si="3"/>
        <v>77.587840690812001</v>
      </c>
      <c r="Q9" s="2">
        <f t="shared" si="4"/>
        <v>4703.1947660655187</v>
      </c>
      <c r="R9" s="1">
        <f t="shared" si="5"/>
        <v>0.86495355265135132</v>
      </c>
      <c r="S9" s="1">
        <f t="shared" si="8"/>
        <v>0.86495355265135132</v>
      </c>
      <c r="T9" s="4">
        <v>0</v>
      </c>
      <c r="U9" s="4">
        <v>0</v>
      </c>
    </row>
    <row r="10" spans="1:21" ht="13.15" x14ac:dyDescent="0.4">
      <c r="A10" s="41"/>
      <c r="B10" s="15" t="s">
        <v>1</v>
      </c>
      <c r="C10" s="7">
        <v>0.2</v>
      </c>
      <c r="E10" s="3">
        <f t="shared" si="9"/>
        <v>8</v>
      </c>
      <c r="F10" s="1">
        <f t="shared" si="6"/>
        <v>166</v>
      </c>
      <c r="G10" s="1">
        <f t="shared" si="7"/>
        <v>88.671817932356575</v>
      </c>
      <c r="I10" s="4">
        <f t="shared" si="0"/>
        <v>1.885352879114029E-2</v>
      </c>
      <c r="J10" s="2">
        <f t="shared" si="1"/>
        <v>51.194697952779563</v>
      </c>
      <c r="L10" s="1">
        <f t="shared" si="2"/>
        <v>1.885352879114029E-2</v>
      </c>
      <c r="M10" s="1">
        <f t="shared" si="3"/>
        <v>88.671817932356575</v>
      </c>
      <c r="Q10" s="2">
        <f t="shared" si="4"/>
        <v>4703.1947660655187</v>
      </c>
      <c r="R10" s="1">
        <f t="shared" si="5"/>
        <v>0.86495355265135132</v>
      </c>
      <c r="S10" s="1">
        <f t="shared" si="8"/>
        <v>0.86495355265135132</v>
      </c>
      <c r="T10" s="4">
        <v>0</v>
      </c>
      <c r="U10" s="4">
        <v>0</v>
      </c>
    </row>
    <row r="11" spans="1:21" ht="13.15" x14ac:dyDescent="0.4">
      <c r="A11" s="41"/>
      <c r="B11" s="15" t="s">
        <v>10</v>
      </c>
      <c r="C11" s="7">
        <v>3</v>
      </c>
      <c r="E11" s="3">
        <f t="shared" si="9"/>
        <v>9</v>
      </c>
      <c r="F11" s="1">
        <f t="shared" si="6"/>
        <v>166</v>
      </c>
      <c r="G11" s="1">
        <f t="shared" si="7"/>
        <v>99.755795173901149</v>
      </c>
      <c r="I11" s="4">
        <f t="shared" si="0"/>
        <v>2.1210219890032828E-2</v>
      </c>
      <c r="J11" s="2">
        <f t="shared" si="1"/>
        <v>57.594035196877002</v>
      </c>
      <c r="L11" s="1">
        <f t="shared" si="2"/>
        <v>2.1210219890032828E-2</v>
      </c>
      <c r="M11" s="1">
        <f t="shared" si="3"/>
        <v>99.755795173901149</v>
      </c>
      <c r="Q11" s="2">
        <f t="shared" si="4"/>
        <v>4703.1947660655187</v>
      </c>
      <c r="R11" s="1">
        <f t="shared" si="5"/>
        <v>0.86495355265135132</v>
      </c>
      <c r="S11" s="1">
        <f t="shared" si="8"/>
        <v>0.86495355265135132</v>
      </c>
      <c r="T11" s="4">
        <v>0</v>
      </c>
      <c r="U11" s="4">
        <v>0</v>
      </c>
    </row>
    <row r="12" spans="1:21" ht="13.15" x14ac:dyDescent="0.4">
      <c r="A12" s="41"/>
      <c r="B12" s="15" t="s">
        <v>9</v>
      </c>
      <c r="C12" s="7">
        <v>32</v>
      </c>
      <c r="E12" s="3">
        <f t="shared" si="9"/>
        <v>10</v>
      </c>
      <c r="F12" s="1">
        <f t="shared" si="6"/>
        <v>166</v>
      </c>
      <c r="G12" s="1">
        <f t="shared" si="7"/>
        <v>110.83977241544572</v>
      </c>
      <c r="I12" s="4">
        <f t="shared" si="0"/>
        <v>2.3566910988925362E-2</v>
      </c>
      <c r="J12" s="2">
        <f t="shared" si="1"/>
        <v>63.99337244097444</v>
      </c>
      <c r="L12" s="1">
        <f t="shared" si="2"/>
        <v>2.3566910988925362E-2</v>
      </c>
      <c r="M12" s="1">
        <f t="shared" si="3"/>
        <v>110.83977241544572</v>
      </c>
      <c r="Q12" s="2">
        <f t="shared" si="4"/>
        <v>4703.1947660655187</v>
      </c>
      <c r="R12" s="1">
        <f t="shared" si="5"/>
        <v>0.86495355265135132</v>
      </c>
      <c r="S12" s="1">
        <f t="shared" si="8"/>
        <v>0.86495355265135132</v>
      </c>
      <c r="T12" s="4">
        <f>ATAN(SQRT(($C$24/F12)^(1/$C$16)-1))-0.5*LN(ABS((1+SQRT(($C$24/F12)^(1/$C$16)-1))/(1-SQRT(($C$24/F12)^(1/$C$16)-1))))</f>
        <v>-0.73220537428033172</v>
      </c>
      <c r="U12" s="4">
        <f>T12</f>
        <v>-0.73220537428033172</v>
      </c>
    </row>
    <row r="13" spans="1:21" ht="13.15" x14ac:dyDescent="0.4">
      <c r="A13" s="41"/>
      <c r="B13" s="15" t="s">
        <v>11</v>
      </c>
      <c r="C13" s="7">
        <v>0.2</v>
      </c>
      <c r="E13" s="3">
        <f t="shared" si="9"/>
        <v>11</v>
      </c>
      <c r="F13" s="1">
        <f>$F$12+($C$18-$F$12)/(2*($E$22-$E$12))*(E13-10)</f>
        <v>165.39246396759341</v>
      </c>
      <c r="G13" s="1">
        <f>F13*$C$14*SQRT(($C$24/F13)^(1/$C$16)-1)</f>
        <v>111.03829156932562</v>
      </c>
      <c r="I13" s="4">
        <f>$I$12+(R13-S13)*$C$27+(T13-U13)*$C$28</f>
        <v>2.4858864169301186E-2</v>
      </c>
      <c r="J13" s="2">
        <f t="shared" si="1"/>
        <v>64.715523560312874</v>
      </c>
      <c r="L13" s="1">
        <f t="shared" si="2"/>
        <v>2.4858864169301186E-2</v>
      </c>
      <c r="M13" s="1">
        <f t="shared" si="3"/>
        <v>111.03829156932562</v>
      </c>
      <c r="Q13" s="2">
        <f t="shared" si="4"/>
        <v>4685.9817522835256</v>
      </c>
      <c r="R13" s="1">
        <f t="shared" si="5"/>
        <v>0.86710305592575276</v>
      </c>
      <c r="S13" s="1">
        <f t="shared" si="8"/>
        <v>0.86495355265135132</v>
      </c>
      <c r="T13" s="4">
        <f t="shared" ref="T13:T31" si="10">ATAN(SQRT(($C$24/F13)^(1/$C$16)-1))-0.5*LN(ABS((1+SQRT(($C$24/F13)^(1/$C$16)-1))/(1-SQRT(($C$24/F13)^(1/$C$16)-1))))</f>
        <v>-0.75559459005228269</v>
      </c>
      <c r="U13" s="4">
        <f>U12</f>
        <v>-0.73220537428033172</v>
      </c>
    </row>
    <row r="14" spans="1:21" x14ac:dyDescent="0.35">
      <c r="A14" s="41"/>
      <c r="B14" s="16" t="s">
        <v>12</v>
      </c>
      <c r="C14" s="11">
        <f>SIN(RADIANS(C12))/(COS(RADIANS(-30))+SIN(RADIANS(-30))*SIN(RADIANS(C12))/SQRT(3))</f>
        <v>0.74317173221991673</v>
      </c>
      <c r="E14" s="3">
        <f t="shared" si="9"/>
        <v>12</v>
      </c>
      <c r="F14" s="1">
        <f t="shared" ref="F14:F22" si="11">$F$12+($C$18-$F$12)/(2*($E$22-$E$12))*(E14-10)</f>
        <v>164.78492793518686</v>
      </c>
      <c r="G14" s="1">
        <f t="shared" ref="G14:G32" si="12">F14*$C$14*SQRT(($C$24/F14)^(1/$C$16)-1)</f>
        <v>111.23425397762902</v>
      </c>
      <c r="I14" s="4">
        <f t="shared" ref="I14:I31" si="13">$I$12+(R14-S14)*$C$27+(T14-U14)*$C$28</f>
        <v>2.6224419660443903E-2</v>
      </c>
      <c r="J14" s="2">
        <f t="shared" si="1"/>
        <v>65.436198541904474</v>
      </c>
      <c r="L14" s="1">
        <f t="shared" si="2"/>
        <v>2.6224419660443903E-2</v>
      </c>
      <c r="M14" s="1">
        <f t="shared" si="3"/>
        <v>111.23425397762902</v>
      </c>
      <c r="Q14" s="2">
        <f t="shared" si="4"/>
        <v>4668.7687385015333</v>
      </c>
      <c r="R14" s="1">
        <f t="shared" si="5"/>
        <v>0.86923268389523167</v>
      </c>
      <c r="S14" s="1">
        <f t="shared" si="8"/>
        <v>0.86495355265135132</v>
      </c>
      <c r="T14" s="4">
        <f t="shared" si="10"/>
        <v>-0.78036869177423562</v>
      </c>
      <c r="U14" s="4">
        <f t="shared" ref="U14:U32" si="14">U13</f>
        <v>-0.73220537428033172</v>
      </c>
    </row>
    <row r="15" spans="1:21" ht="13.15" x14ac:dyDescent="0.4">
      <c r="A15" s="41"/>
      <c r="B15" s="15" t="s">
        <v>8</v>
      </c>
      <c r="C15" s="11">
        <f>C11-LN(C7)*C10+LN(C7/C4)*C9</f>
        <v>1.8888332393837426</v>
      </c>
      <c r="E15" s="3">
        <f t="shared" si="9"/>
        <v>13</v>
      </c>
      <c r="F15" s="1">
        <f t="shared" si="11"/>
        <v>164.17739190278027</v>
      </c>
      <c r="G15" s="1">
        <f t="shared" si="12"/>
        <v>111.42767131374859</v>
      </c>
      <c r="I15" s="4">
        <f t="shared" si="13"/>
        <v>2.7672051066999524E-2</v>
      </c>
      <c r="J15" s="2">
        <f t="shared" si="1"/>
        <v>66.155404125385616</v>
      </c>
      <c r="L15" s="1">
        <f t="shared" si="2"/>
        <v>2.7672051066999524E-2</v>
      </c>
      <c r="M15" s="1">
        <f t="shared" si="3"/>
        <v>111.42767131374859</v>
      </c>
      <c r="Q15" s="2">
        <f t="shared" si="4"/>
        <v>4651.5557247195393</v>
      </c>
      <c r="R15" s="1">
        <f t="shared" si="5"/>
        <v>0.8713424170638473</v>
      </c>
      <c r="S15" s="1">
        <f t="shared" si="8"/>
        <v>0.86495355265135132</v>
      </c>
      <c r="T15" s="4">
        <f t="shared" si="10"/>
        <v>-0.80668628171284829</v>
      </c>
      <c r="U15" s="4">
        <f t="shared" si="14"/>
        <v>-0.73220537428033172</v>
      </c>
    </row>
    <row r="16" spans="1:21" ht="13.15" x14ac:dyDescent="0.4">
      <c r="A16" s="41"/>
      <c r="B16" s="15" t="s">
        <v>15</v>
      </c>
      <c r="C16" s="11">
        <f>1-C9/C10</f>
        <v>0.75</v>
      </c>
      <c r="E16" s="3">
        <f t="shared" si="9"/>
        <v>14</v>
      </c>
      <c r="F16" s="1">
        <f t="shared" si="11"/>
        <v>163.56985587037369</v>
      </c>
      <c r="G16" s="1">
        <f t="shared" si="12"/>
        <v>111.6185549798745</v>
      </c>
      <c r="I16" s="4">
        <f t="shared" si="13"/>
        <v>2.9211774688286327E-2</v>
      </c>
      <c r="J16" s="2">
        <f t="shared" si="1"/>
        <v>66.873146893813924</v>
      </c>
      <c r="L16" s="1">
        <f t="shared" si="2"/>
        <v>2.9211774688286327E-2</v>
      </c>
      <c r="M16" s="1">
        <f t="shared" si="3"/>
        <v>111.6185549798745</v>
      </c>
      <c r="Q16" s="2">
        <f t="shared" si="4"/>
        <v>4634.3427109375461</v>
      </c>
      <c r="R16" s="1">
        <f t="shared" si="5"/>
        <v>0.8734322327496592</v>
      </c>
      <c r="S16" s="1">
        <f t="shared" si="8"/>
        <v>0.86495355265135132</v>
      </c>
      <c r="T16" s="4">
        <f t="shared" si="10"/>
        <v>-0.83473483694640427</v>
      </c>
      <c r="U16" s="4">
        <f t="shared" si="14"/>
        <v>-0.73220537428033172</v>
      </c>
    </row>
    <row r="17" spans="1:21" x14ac:dyDescent="0.35">
      <c r="A17" s="31"/>
      <c r="B17" s="32"/>
      <c r="C17" s="33"/>
      <c r="E17" s="3">
        <f t="shared" si="9"/>
        <v>15</v>
      </c>
      <c r="F17" s="1">
        <f t="shared" si="11"/>
        <v>162.96231983796713</v>
      </c>
      <c r="G17" s="1">
        <f t="shared" si="12"/>
        <v>111.8069161117359</v>
      </c>
      <c r="I17" s="4">
        <f t="shared" si="13"/>
        <v>3.0855548265889911E-2</v>
      </c>
      <c r="J17" s="2">
        <f t="shared" si="1"/>
        <v>67.589433276405487</v>
      </c>
      <c r="L17" s="1">
        <f t="shared" si="2"/>
        <v>3.0855548265889911E-2</v>
      </c>
      <c r="M17" s="1">
        <f t="shared" si="3"/>
        <v>111.8069161117359</v>
      </c>
      <c r="Q17" s="2">
        <f t="shared" si="4"/>
        <v>4617.1296971555548</v>
      </c>
      <c r="R17" s="1">
        <f t="shared" si="5"/>
        <v>0.87550210508941295</v>
      </c>
      <c r="S17" s="1">
        <f t="shared" si="8"/>
        <v>0.86495355265135132</v>
      </c>
      <c r="T17" s="4">
        <f t="shared" si="10"/>
        <v>-0.86473817246912643</v>
      </c>
      <c r="U17" s="4">
        <f t="shared" si="14"/>
        <v>-0.73220537428033172</v>
      </c>
    </row>
    <row r="18" spans="1:21" x14ac:dyDescent="0.35">
      <c r="A18" s="41" t="s">
        <v>4</v>
      </c>
      <c r="B18" s="16" t="s">
        <v>18</v>
      </c>
      <c r="C18" s="8">
        <f>C24/2^(C16)</f>
        <v>153.84927935186846</v>
      </c>
      <c r="E18" s="3">
        <f t="shared" si="9"/>
        <v>16</v>
      </c>
      <c r="F18" s="1">
        <f t="shared" si="11"/>
        <v>162.35478380556054</v>
      </c>
      <c r="G18" s="1">
        <f t="shared" si="12"/>
        <v>111.99276558318942</v>
      </c>
      <c r="I18" s="4">
        <f t="shared" si="13"/>
        <v>3.2617807512454772E-2</v>
      </c>
      <c r="J18" s="2">
        <f t="shared" si="1"/>
        <v>68.304269551184518</v>
      </c>
      <c r="L18" s="1">
        <f t="shared" si="2"/>
        <v>3.2617807512454772E-2</v>
      </c>
      <c r="M18" s="1">
        <f t="shared" si="3"/>
        <v>111.99276558318942</v>
      </c>
      <c r="Q18" s="2">
        <f t="shared" si="4"/>
        <v>4599.9166833735617</v>
      </c>
      <c r="R18" s="1">
        <f t="shared" si="5"/>
        <v>0.87755200504161823</v>
      </c>
      <c r="S18" s="1">
        <f t="shared" si="8"/>
        <v>0.86495355265135132</v>
      </c>
      <c r="T18" s="4">
        <f t="shared" si="10"/>
        <v>-0.89696648305942273</v>
      </c>
      <c r="U18" s="4">
        <f t="shared" si="14"/>
        <v>-0.73220537428033172</v>
      </c>
    </row>
    <row r="19" spans="1:21" x14ac:dyDescent="0.35">
      <c r="A19" s="41"/>
      <c r="B19" s="16" t="s">
        <v>19</v>
      </c>
      <c r="C19" s="8">
        <f>C18*C14</f>
        <v>114.33643543671396</v>
      </c>
      <c r="E19" s="3">
        <f t="shared" si="9"/>
        <v>17</v>
      </c>
      <c r="F19" s="1">
        <f t="shared" si="11"/>
        <v>161.74724777315396</v>
      </c>
      <c r="G19" s="1">
        <f t="shared" si="12"/>
        <v>112.17611401065834</v>
      </c>
      <c r="I19" s="4">
        <f t="shared" si="13"/>
        <v>3.4516201820662076E-2</v>
      </c>
      <c r="J19" s="2">
        <f t="shared" si="1"/>
        <v>69.017661847545781</v>
      </c>
      <c r="L19" s="1">
        <f t="shared" si="2"/>
        <v>3.4516201820662076E-2</v>
      </c>
      <c r="M19" s="1">
        <f t="shared" si="3"/>
        <v>112.17611401065834</v>
      </c>
      <c r="Q19" s="2">
        <f t="shared" si="4"/>
        <v>4582.7036695915685</v>
      </c>
      <c r="R19" s="1">
        <f t="shared" si="5"/>
        <v>0.87958190038803552</v>
      </c>
      <c r="S19" s="1">
        <f>S18</f>
        <v>0.86495355265135132</v>
      </c>
      <c r="T19" s="4">
        <f t="shared" si="10"/>
        <v>-0.9317501130780359</v>
      </c>
      <c r="U19" s="4">
        <f t="shared" si="14"/>
        <v>-0.73220537428033172</v>
      </c>
    </row>
    <row r="20" spans="1:21" x14ac:dyDescent="0.35">
      <c r="A20" s="31"/>
      <c r="B20" s="32"/>
      <c r="C20" s="33"/>
      <c r="E20" s="3">
        <f t="shared" si="9"/>
        <v>18</v>
      </c>
      <c r="F20" s="1">
        <f t="shared" si="11"/>
        <v>161.13971174074737</v>
      </c>
      <c r="G20" s="1">
        <f t="shared" si="12"/>
        <v>112.35697175742774</v>
      </c>
      <c r="I20" s="4">
        <f t="shared" si="13"/>
        <v>3.6572625051916448E-2</v>
      </c>
      <c r="J20" s="2">
        <f t="shared" si="1"/>
        <v>69.729616148734721</v>
      </c>
      <c r="L20" s="1">
        <f t="shared" si="2"/>
        <v>3.6572625051916448E-2</v>
      </c>
      <c r="M20" s="1">
        <f t="shared" si="3"/>
        <v>112.35697175742774</v>
      </c>
      <c r="Q20" s="2">
        <f t="shared" si="4"/>
        <v>4565.4906558095745</v>
      </c>
      <c r="R20" s="1">
        <f t="shared" si="5"/>
        <v>0.88159175573358939</v>
      </c>
      <c r="S20" s="1">
        <f t="shared" si="8"/>
        <v>0.86495355265135132</v>
      </c>
      <c r="T20" s="4">
        <f t="shared" si="10"/>
        <v>-0.96949884908668571</v>
      </c>
      <c r="U20" s="4">
        <f t="shared" si="14"/>
        <v>-0.73220537428033172</v>
      </c>
    </row>
    <row r="21" spans="1:21" x14ac:dyDescent="0.35">
      <c r="A21" s="41" t="s">
        <v>25</v>
      </c>
      <c r="B21" s="5" t="s">
        <v>16</v>
      </c>
      <c r="C21" s="8">
        <f>C4</f>
        <v>166</v>
      </c>
      <c r="E21" s="3">
        <f t="shared" si="9"/>
        <v>19</v>
      </c>
      <c r="F21" s="1">
        <f t="shared" si="11"/>
        <v>160.53217570834082</v>
      </c>
      <c r="G21" s="1">
        <f t="shared" si="12"/>
        <v>112.53534893780008</v>
      </c>
      <c r="I21" s="4">
        <f t="shared" si="13"/>
        <v>3.8814695909095254E-2</v>
      </c>
      <c r="J21" s="2">
        <f t="shared" si="1"/>
        <v>70.440138294246509</v>
      </c>
      <c r="L21" s="1">
        <f t="shared" si="2"/>
        <v>3.8814695909095254E-2</v>
      </c>
      <c r="M21" s="1">
        <f t="shared" si="3"/>
        <v>112.53534893780008</v>
      </c>
      <c r="Q21" s="2">
        <f t="shared" si="4"/>
        <v>4548.2776420275832</v>
      </c>
      <c r="R21" s="1">
        <f t="shared" si="5"/>
        <v>0.88358153250472071</v>
      </c>
      <c r="S21" s="1">
        <f t="shared" si="8"/>
        <v>0.86495355265135132</v>
      </c>
      <c r="T21" s="4">
        <f t="shared" si="10"/>
        <v>-1.0107296270472712</v>
      </c>
      <c r="U21" s="4">
        <f t="shared" si="14"/>
        <v>-0.73220537428033172</v>
      </c>
    </row>
    <row r="22" spans="1:21" x14ac:dyDescent="0.35">
      <c r="A22" s="41"/>
      <c r="B22" s="5" t="s">
        <v>17</v>
      </c>
      <c r="C22" s="8">
        <f>C21*C14*SQRT((C24/C21)^(1/C16)-1)</f>
        <v>110.83977241544572</v>
      </c>
      <c r="E22" s="3">
        <f t="shared" si="9"/>
        <v>20</v>
      </c>
      <c r="F22" s="1">
        <f t="shared" si="11"/>
        <v>159.92463967593423</v>
      </c>
      <c r="G22" s="1">
        <f t="shared" si="12"/>
        <v>112.71125542111487</v>
      </c>
      <c r="I22" s="4">
        <f t="shared" si="13"/>
        <v>4.1277945881216409E-2</v>
      </c>
      <c r="J22" s="2">
        <f t="shared" si="1"/>
        <v>71.149233982147109</v>
      </c>
      <c r="L22" s="1">
        <f t="shared" si="2"/>
        <v>4.1277945881216409E-2</v>
      </c>
      <c r="M22" s="1">
        <f t="shared" si="3"/>
        <v>112.71125542111487</v>
      </c>
      <c r="Q22" s="2">
        <f t="shared" si="4"/>
        <v>4531.06462824559</v>
      </c>
      <c r="R22" s="1">
        <f t="shared" si="5"/>
        <v>0.88555118894619056</v>
      </c>
      <c r="S22" s="1">
        <f t="shared" si="8"/>
        <v>0.86495355265135132</v>
      </c>
      <c r="T22" s="4">
        <f t="shared" si="10"/>
        <v>-1.0561074826968317</v>
      </c>
      <c r="U22" s="4">
        <f t="shared" si="14"/>
        <v>-0.73220537428033172</v>
      </c>
    </row>
    <row r="23" spans="1:21" x14ac:dyDescent="0.35">
      <c r="A23" s="31"/>
      <c r="B23" s="32"/>
      <c r="C23" s="33"/>
      <c r="E23" s="3">
        <f t="shared" si="9"/>
        <v>21</v>
      </c>
      <c r="F23" s="1">
        <f t="shared" ref="F23:F30" si="15">F24-($F$32-$F$22)/55*(30-E23)</f>
        <v>158.82002870792229</v>
      </c>
      <c r="G23" s="1">
        <f t="shared" si="12"/>
        <v>113.02478674233112</v>
      </c>
      <c r="I23" s="4">
        <f t="shared" si="13"/>
        <v>4.6486672635713572E-2</v>
      </c>
      <c r="J23" s="2">
        <f t="shared" si="1"/>
        <v>72.43486234286263</v>
      </c>
      <c r="L23" s="1">
        <f t="shared" si="2"/>
        <v>4.6486672635713572E-2</v>
      </c>
      <c r="M23" s="1">
        <f t="shared" si="3"/>
        <v>113.02478674233112</v>
      </c>
      <c r="Q23" s="2">
        <f t="shared" si="4"/>
        <v>4499.7682395510574</v>
      </c>
      <c r="R23" s="1">
        <f t="shared" si="5"/>
        <v>0.88908068585337041</v>
      </c>
      <c r="S23" s="1">
        <f t="shared" si="8"/>
        <v>0.86495355265135132</v>
      </c>
      <c r="T23" s="4">
        <f t="shared" si="10"/>
        <v>-1.1522963497446126</v>
      </c>
      <c r="U23" s="4">
        <f t="shared" si="14"/>
        <v>-0.73220537428033172</v>
      </c>
    </row>
    <row r="24" spans="1:21" ht="13.15" thickBot="1" x14ac:dyDescent="0.4">
      <c r="A24" s="12" t="s">
        <v>21</v>
      </c>
      <c r="B24" s="17" t="s">
        <v>20</v>
      </c>
      <c r="C24" s="14">
        <f>C4*(C7/C4)^C16</f>
        <v>258.74261499270699</v>
      </c>
      <c r="E24" s="3">
        <f t="shared" si="9"/>
        <v>22</v>
      </c>
      <c r="F24" s="1">
        <f t="shared" si="15"/>
        <v>157.82587883671152</v>
      </c>
      <c r="G24" s="1">
        <f t="shared" si="12"/>
        <v>113.30005495571456</v>
      </c>
      <c r="I24" s="4">
        <f t="shared" si="13"/>
        <v>5.230947324376832E-2</v>
      </c>
      <c r="J24" s="2">
        <f t="shared" si="1"/>
        <v>73.587938391169672</v>
      </c>
      <c r="L24" s="1">
        <f t="shared" si="2"/>
        <v>5.230947324376832E-2</v>
      </c>
      <c r="M24" s="1">
        <f t="shared" si="3"/>
        <v>113.30005495571456</v>
      </c>
      <c r="Q24" s="2">
        <f t="shared" si="4"/>
        <v>4471.6014897259784</v>
      </c>
      <c r="R24" s="1">
        <f t="shared" si="5"/>
        <v>0.89219999037576891</v>
      </c>
      <c r="S24" s="1">
        <f t="shared" si="8"/>
        <v>0.86495355265135132</v>
      </c>
      <c r="T24" s="4">
        <f t="shared" si="10"/>
        <v>-1.2601294819445932</v>
      </c>
      <c r="U24" s="4">
        <f t="shared" si="14"/>
        <v>-0.73220537428033172</v>
      </c>
    </row>
    <row r="25" spans="1:21" ht="13.15" thickBot="1" x14ac:dyDescent="0.4">
      <c r="E25" s="3">
        <f t="shared" si="9"/>
        <v>23</v>
      </c>
      <c r="F25" s="1">
        <f t="shared" si="15"/>
        <v>156.94219006230196</v>
      </c>
      <c r="G25" s="1">
        <f t="shared" si="12"/>
        <v>113.53927496114817</v>
      </c>
      <c r="I25" s="4">
        <f t="shared" si="13"/>
        <v>5.8899028397668376E-2</v>
      </c>
      <c r="J25" s="2">
        <f t="shared" si="1"/>
        <v>74.609740900111888</v>
      </c>
      <c r="L25" s="1">
        <f t="shared" si="2"/>
        <v>5.8899028397668376E-2</v>
      </c>
      <c r="M25" s="1">
        <f t="shared" si="3"/>
        <v>113.53927496114817</v>
      </c>
      <c r="Q25" s="2">
        <f t="shared" si="4"/>
        <v>4446.5643787703521</v>
      </c>
      <c r="R25" s="1">
        <f t="shared" si="5"/>
        <v>0.89492697796895615</v>
      </c>
      <c r="S25" s="1">
        <f t="shared" si="8"/>
        <v>0.86495355265135132</v>
      </c>
      <c r="T25" s="4">
        <f t="shared" si="10"/>
        <v>-1.3824579252631943</v>
      </c>
      <c r="U25" s="4">
        <f t="shared" si="14"/>
        <v>-0.73220537428033172</v>
      </c>
    </row>
    <row r="26" spans="1:21" x14ac:dyDescent="0.35">
      <c r="A26" s="28" t="s">
        <v>31</v>
      </c>
      <c r="B26" s="29"/>
      <c r="C26" s="30"/>
      <c r="E26" s="3">
        <f t="shared" si="9"/>
        <v>24</v>
      </c>
      <c r="F26" s="1">
        <f t="shared" si="15"/>
        <v>156.1689623846936</v>
      </c>
      <c r="G26" s="1">
        <f t="shared" si="12"/>
        <v>113.74439645380224</v>
      </c>
      <c r="I26" s="4">
        <f t="shared" si="13"/>
        <v>6.6474725958880848E-2</v>
      </c>
      <c r="J26" s="2">
        <f t="shared" si="1"/>
        <v>75.501395526720643</v>
      </c>
      <c r="L26" s="1">
        <f t="shared" si="2"/>
        <v>6.6474725958880848E-2</v>
      </c>
      <c r="M26" s="1">
        <f t="shared" si="3"/>
        <v>113.74439645380224</v>
      </c>
      <c r="Q26" s="2">
        <f t="shared" si="4"/>
        <v>4424.6569066841794</v>
      </c>
      <c r="R26" s="1">
        <f t="shared" si="5"/>
        <v>0.8972776371174781</v>
      </c>
      <c r="S26" s="1">
        <f t="shared" si="8"/>
        <v>0.86495355265135132</v>
      </c>
      <c r="T26" s="4">
        <f t="shared" si="10"/>
        <v>-1.5233819362661993</v>
      </c>
      <c r="U26" s="4">
        <f t="shared" si="14"/>
        <v>-0.73220537428033172</v>
      </c>
    </row>
    <row r="27" spans="1:21" x14ac:dyDescent="0.35">
      <c r="A27" s="41" t="s">
        <v>37</v>
      </c>
      <c r="B27" s="6" t="s">
        <v>38</v>
      </c>
      <c r="C27" s="19">
        <f>2*(1+C13)*C9*C14*C16/(3*C15*(1-2*C13))</f>
        <v>1.9672772501144322E-2</v>
      </c>
      <c r="E27" s="3">
        <f t="shared" si="9"/>
        <v>25</v>
      </c>
      <c r="F27" s="1">
        <f t="shared" si="15"/>
        <v>155.50619580388641</v>
      </c>
      <c r="G27" s="1">
        <f t="shared" si="12"/>
        <v>113.91711140324013</v>
      </c>
      <c r="I27" s="4">
        <f t="shared" si="13"/>
        <v>7.5368795558580032E-2</v>
      </c>
      <c r="J27" s="2">
        <f t="shared" si="1"/>
        <v>76.263879130078863</v>
      </c>
      <c r="L27" s="1">
        <f t="shared" si="2"/>
        <v>7.5368795558580032E-2</v>
      </c>
      <c r="M27" s="1">
        <f t="shared" si="3"/>
        <v>113.91711140324013</v>
      </c>
      <c r="Q27" s="2">
        <f t="shared" si="4"/>
        <v>4405.8790734674594</v>
      </c>
      <c r="R27" s="1">
        <f t="shared" si="5"/>
        <v>0.89926604464291982</v>
      </c>
      <c r="S27" s="1">
        <f t="shared" si="8"/>
        <v>0.86495355265135132</v>
      </c>
      <c r="T27" s="4">
        <f t="shared" si="10"/>
        <v>-1.6891144632916779</v>
      </c>
      <c r="U27" s="4">
        <f t="shared" si="14"/>
        <v>-0.73220537428033172</v>
      </c>
    </row>
    <row r="28" spans="1:21" ht="13.15" thickBot="1" x14ac:dyDescent="0.4">
      <c r="A28" s="42"/>
      <c r="B28" s="13" t="s">
        <v>39</v>
      </c>
      <c r="C28" s="20">
        <f>-2*C9*C16/(C15*C14)</f>
        <v>-5.3429174524384719E-2</v>
      </c>
      <c r="E28" s="3">
        <f t="shared" si="9"/>
        <v>26</v>
      </c>
      <c r="F28" s="1">
        <f t="shared" si="15"/>
        <v>154.95389031988043</v>
      </c>
      <c r="G28" s="1">
        <f t="shared" si="12"/>
        <v>114.05886012539219</v>
      </c>
      <c r="I28" s="4">
        <f t="shared" si="13"/>
        <v>8.6121262251656255E-2</v>
      </c>
      <c r="J28" s="2">
        <f t="shared" si="1"/>
        <v>76.89802327697663</v>
      </c>
      <c r="L28" s="1">
        <f t="shared" si="2"/>
        <v>8.6121262251656255E-2</v>
      </c>
      <c r="M28" s="1">
        <f t="shared" si="3"/>
        <v>114.05886012539219</v>
      </c>
      <c r="Q28" s="2">
        <f t="shared" si="4"/>
        <v>4390.2308791201931</v>
      </c>
      <c r="R28" s="1">
        <f t="shared" si="5"/>
        <v>0.90090433769509182</v>
      </c>
      <c r="S28" s="1">
        <f t="shared" si="8"/>
        <v>0.86495355265135132</v>
      </c>
      <c r="T28" s="4">
        <f t="shared" si="10"/>
        <v>-1.8897583441301884</v>
      </c>
      <c r="U28" s="4">
        <f t="shared" si="14"/>
        <v>-0.73220537428033172</v>
      </c>
    </row>
    <row r="29" spans="1:21" x14ac:dyDescent="0.35">
      <c r="E29" s="3">
        <f t="shared" si="9"/>
        <v>27</v>
      </c>
      <c r="F29" s="1">
        <f t="shared" si="15"/>
        <v>154.51204593267565</v>
      </c>
      <c r="G29" s="1">
        <f t="shared" si="12"/>
        <v>114.17083614789692</v>
      </c>
      <c r="I29" s="4">
        <f t="shared" si="13"/>
        <v>9.9703940168650557E-2</v>
      </c>
      <c r="J29" s="2">
        <f t="shared" si="1"/>
        <v>77.404517050917292</v>
      </c>
      <c r="L29" s="1">
        <f t="shared" si="2"/>
        <v>9.9703940168650557E-2</v>
      </c>
      <c r="M29" s="1">
        <f t="shared" si="3"/>
        <v>114.17083614789692</v>
      </c>
      <c r="Q29" s="2">
        <f t="shared" si="4"/>
        <v>4377.7123236423804</v>
      </c>
      <c r="R29" s="1">
        <f t="shared" si="5"/>
        <v>0.90220268495067457</v>
      </c>
      <c r="S29" s="1">
        <f t="shared" si="8"/>
        <v>0.86495355265135132</v>
      </c>
      <c r="T29" s="4">
        <f t="shared" si="10"/>
        <v>-2.1434986638616929</v>
      </c>
      <c r="U29" s="4">
        <f t="shared" si="14"/>
        <v>-0.73220537428033172</v>
      </c>
    </row>
    <row r="30" spans="1:21" x14ac:dyDescent="0.35">
      <c r="A30" s="34" t="s">
        <v>56</v>
      </c>
      <c r="B30" s="34"/>
      <c r="C30" s="34"/>
      <c r="E30" s="3">
        <f t="shared" si="9"/>
        <v>28</v>
      </c>
      <c r="F30" s="1">
        <f t="shared" si="15"/>
        <v>154.18066264227207</v>
      </c>
      <c r="G30" s="1">
        <f t="shared" si="12"/>
        <v>114.25399003195409</v>
      </c>
      <c r="I30" s="4">
        <f t="shared" si="13"/>
        <v>0.11817302744607788</v>
      </c>
      <c r="J30" s="2">
        <f t="shared" si="1"/>
        <v>77.78390925866546</v>
      </c>
      <c r="L30" s="1">
        <f t="shared" si="2"/>
        <v>0.11817302744607788</v>
      </c>
      <c r="M30" s="1">
        <f t="shared" si="3"/>
        <v>114.25399003195409</v>
      </c>
      <c r="Q30" s="2">
        <f t="shared" si="4"/>
        <v>4368.3234070340204</v>
      </c>
      <c r="R30" s="1">
        <f t="shared" si="5"/>
        <v>0.90316925920369895</v>
      </c>
      <c r="S30" s="1">
        <f t="shared" si="8"/>
        <v>0.86495355265135132</v>
      </c>
      <c r="T30" s="4">
        <f t="shared" si="10"/>
        <v>-2.4888169706908885</v>
      </c>
      <c r="U30" s="4">
        <f t="shared" si="14"/>
        <v>-0.73220537428033172</v>
      </c>
    </row>
    <row r="31" spans="1:21" x14ac:dyDescent="0.35">
      <c r="E31" s="3">
        <f t="shared" si="9"/>
        <v>29</v>
      </c>
      <c r="F31" s="1">
        <f>F32-($F$32-$F$22)/55*(30-E31)</f>
        <v>153.95974044866966</v>
      </c>
      <c r="G31" s="1">
        <f t="shared" si="12"/>
        <v>114.30903228096585</v>
      </c>
      <c r="I31" s="4">
        <f t="shared" si="13"/>
        <v>0.14748987471763084</v>
      </c>
      <c r="J31" s="2">
        <f t="shared" si="1"/>
        <v>78.036610109551589</v>
      </c>
      <c r="L31" s="1">
        <f t="shared" si="2"/>
        <v>0.14748987471763084</v>
      </c>
      <c r="M31" s="1">
        <f t="shared" si="3"/>
        <v>114.30903228096585</v>
      </c>
      <c r="Q31" s="2">
        <f t="shared" si="4"/>
        <v>4362.0641292951141</v>
      </c>
      <c r="R31" s="1">
        <f t="shared" si="5"/>
        <v>0.90381021318895793</v>
      </c>
      <c r="S31" s="1">
        <f t="shared" si="8"/>
        <v>0.86495355265135132</v>
      </c>
      <c r="T31" s="4">
        <f t="shared" si="10"/>
        <v>-3.0372858210985059</v>
      </c>
      <c r="U31" s="4">
        <f t="shared" si="14"/>
        <v>-0.73220537428033172</v>
      </c>
    </row>
    <row r="32" spans="1:21" x14ac:dyDescent="0.35">
      <c r="E32" s="3" t="s">
        <v>4</v>
      </c>
      <c r="F32" s="1">
        <f>C18</f>
        <v>153.84927935186846</v>
      </c>
      <c r="G32" s="1">
        <f t="shared" si="12"/>
        <v>114.33643543671393</v>
      </c>
      <c r="I32" s="4"/>
      <c r="J32" s="2"/>
      <c r="L32" s="4"/>
      <c r="M32" s="2"/>
      <c r="Q32" s="2">
        <f t="shared" si="4"/>
        <v>4358.9344904256604</v>
      </c>
      <c r="R32" s="1">
        <f t="shared" si="5"/>
        <v>0.90412966012822971</v>
      </c>
      <c r="S32" s="1">
        <f t="shared" si="8"/>
        <v>0.86495355265135132</v>
      </c>
      <c r="T32" s="4">
        <f>ATAN(SQRT(($C$24/F32)^(1/$C$16)-1))-0.5*LN(ABS((1+SQRT(($C$24/F32)^(1/$C$16)-1))/(1-SQRT(($C$24/F32)^(1/$C$16)-1))))</f>
        <v>-17.583002121441101</v>
      </c>
      <c r="U32" s="4">
        <f t="shared" si="14"/>
        <v>-0.73220537428033172</v>
      </c>
    </row>
  </sheetData>
  <mergeCells count="13">
    <mergeCell ref="A30:C30"/>
    <mergeCell ref="A2:A5"/>
    <mergeCell ref="A27:A28"/>
    <mergeCell ref="A26:C26"/>
    <mergeCell ref="A18:A19"/>
    <mergeCell ref="A23:C23"/>
    <mergeCell ref="A20:C20"/>
    <mergeCell ref="A17:C17"/>
    <mergeCell ref="A1:C1"/>
    <mergeCell ref="A6:C6"/>
    <mergeCell ref="A8:C8"/>
    <mergeCell ref="A9:A16"/>
    <mergeCell ref="A21:A22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6</vt:i4>
      </vt:variant>
    </vt:vector>
  </HeadingPairs>
  <TitlesOfParts>
    <vt:vector size="8" baseType="lpstr">
      <vt:lpstr>Drained (Poisson)</vt:lpstr>
      <vt:lpstr>Undrained (Poisson)</vt:lpstr>
      <vt:lpstr>p-J DD</vt:lpstr>
      <vt:lpstr>Ed-evol DD</vt:lpstr>
      <vt:lpstr>Ed-J DD</vt:lpstr>
      <vt:lpstr>p-J UU</vt:lpstr>
      <vt:lpstr>Ed-dU UU</vt:lpstr>
      <vt:lpstr>Ed-J UU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Taborda</dc:creator>
  <cp:lastModifiedBy>Taborda, David M G</cp:lastModifiedBy>
  <dcterms:created xsi:type="dcterms:W3CDTF">2007-09-28T14:08:49Z</dcterms:created>
  <dcterms:modified xsi:type="dcterms:W3CDTF">2026-02-24T15:28:01Z</dcterms:modified>
</cp:coreProperties>
</file>